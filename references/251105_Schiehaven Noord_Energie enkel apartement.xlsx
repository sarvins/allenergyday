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osterhoffgroup.sharepoint.com/sites/2500837-Quake/Gedeelde documenten/General/03_Technical_WIP/Energie Model/"/>
    </mc:Choice>
  </mc:AlternateContent>
  <xr:revisionPtr revIDLastSave="4" documentId="8_{91DA6C9A-062A-420F-93BE-3C1213ACF3B6}" xr6:coauthVersionLast="47" xr6:coauthVersionMax="47" xr10:uidLastSave="{676C7AA2-450F-4D88-89A8-1AF86F48F828}"/>
  <bookViews>
    <workbookView xWindow="-28920" yWindow="-120" windowWidth="29040" windowHeight="15720" xr2:uid="{58B990EB-69C3-4AFA-ADB2-409E258786CA}"/>
  </bookViews>
  <sheets>
    <sheet name="Scenarios" sheetId="8" r:id="rId1"/>
    <sheet name="Invoer" sheetId="1" r:id="rId2"/>
    <sheet name="Resultaten" sheetId="6" r:id="rId3"/>
    <sheet name="Tabellen" sheetId="2" r:id="rId4"/>
    <sheet name="Coeefficienten" sheetId="3" r:id="rId5"/>
    <sheet name="Basis waarden en tabellen" sheetId="4" r:id="rId6"/>
    <sheet name="Parameter Overview" sheetId="7" r:id="rId7"/>
  </sheets>
  <definedNames>
    <definedName name="Bezetting">'Basis waarden en tabellen'!$D$17:$Z$24</definedName>
    <definedName name="BezonningGevelEzonWinter_description">Invoer!$E$47</definedName>
    <definedName name="BezonningGevelEzonWinter_unit">Invoer!$J$47</definedName>
    <definedName name="BezonningGevelEzonWinter_value">Invoer!$I$47</definedName>
    <definedName name="BezonningGevelEzonZomer_description">Invoer!$E$46</definedName>
    <definedName name="BezonningGevelEzonZomer_unit">Invoer!$J$46</definedName>
    <definedName name="BezonningGevelEzonZomer_value">Invoer!$I$46</definedName>
    <definedName name="C_massa">Coeefficienten!$D$112:$H$117</definedName>
    <definedName name="ClimateChangeEffectEzonWinter_description">Invoer!$E$40</definedName>
    <definedName name="ClimateChangeEffectEzonWinter_unit">Invoer!$J$40</definedName>
    <definedName name="ClimateChangeEffectEzonWinter_value">Invoer!$M$40</definedName>
    <definedName name="ClimateChangeEffectEzonZomer_description">Invoer!$E$39</definedName>
    <definedName name="ClimateChangeEffectEzonZomer_unit">Invoer!$J$39</definedName>
    <definedName name="ClimateChangeEffectEzonZomer_value">Invoer!$M$39</definedName>
    <definedName name="ClimateChangeEffectTgem_description">Invoer!$E$36</definedName>
    <definedName name="ClimateChangeEffectTgem_unit">Invoer!$J$36</definedName>
    <definedName name="ClimateChangeEffectTgem_value">Invoer!$M$36</definedName>
    <definedName name="ClimateChangeEffectTgemWinter_description">Invoer!$E$38</definedName>
    <definedName name="ClimateChangeEffectTgemWinter_unit">Invoer!$J$38</definedName>
    <definedName name="ClimateChangeEffectTgemWinter_value">Invoer!$M$38</definedName>
    <definedName name="ClimateChangeEffectTgemZomer_description">Invoer!$E$37</definedName>
    <definedName name="ClimateChangeEffectTgemZomer_unit">Invoer!$J$37</definedName>
    <definedName name="ClimateChangeEffectTgemZomer_value">Invoer!$M$37</definedName>
    <definedName name="CO2RegelingVentilatie_description">Invoer!$E$25</definedName>
    <definedName name="CO2RegelingVentilatie_value">Invoer!$F$25</definedName>
    <definedName name="Collectief">Coeefficienten!$D$19:$H$23</definedName>
    <definedName name="Collector">Tabellen!$B$64:$C$67</definedName>
    <definedName name="Constructie">Tabellen!$B$49:$C$53</definedName>
    <definedName name="ConstructieWijze_description">Invoer!$E$16</definedName>
    <definedName name="ConstructieWijze_value">Invoer!$F$16</definedName>
    <definedName name="COP">Coeefficienten!$E$19:$H$23</definedName>
    <definedName name="COP_">Coeefficienten!$D$19:$H$23</definedName>
    <definedName name="corner_correctie">Tabellen!$Q$28</definedName>
    <definedName name="corner_correction">Tabellen!$O$20:$R$24</definedName>
    <definedName name="Dak">Tabellen!$B$36:$C$38</definedName>
    <definedName name="Dak_description">Invoer!$E$14</definedName>
    <definedName name="Dak_U">Tabellen!$B$36:$D$38</definedName>
    <definedName name="Dak_Uw">Coeefficienten!$D$121:$G$123</definedName>
    <definedName name="Dak_value">Invoer!$F$14</definedName>
    <definedName name="DF_ratio">Coeefficienten!$F$69:$S$70</definedName>
    <definedName name="Douche">Tabellen!$B$70:$C$72</definedName>
    <definedName name="douche_red">Coeefficienten!$E$32:$F$34</definedName>
    <definedName name="douche_reductie">Coeefficienten!$D$32:$F$34</definedName>
    <definedName name="Douchewtw_description">Invoer!$E$24</definedName>
    <definedName name="Douchewtw_value">Invoer!$F$24</definedName>
    <definedName name="dT_h">Coeefficienten!$M$138:$W$139</definedName>
    <definedName name="Gebouwconcept">Tabellen!$E$41:$K$45</definedName>
    <definedName name="Gegevens">Tabellen!$B$76:$C$77</definedName>
    <definedName name="inkoop_tabel">Coeefficienten!$N$18:$R$23</definedName>
    <definedName name="input_BerekendDaglichtFactor_description">Invoer!$E$48</definedName>
    <definedName name="input_BerekendDaglichtFactor_value">Invoer!$I$49</definedName>
    <definedName name="input_DakaAnwezigheid_value">Invoer!$F$13</definedName>
    <definedName name="input_DakAnwezigheid_description">Invoer!$E$13</definedName>
    <definedName name="input_GrootteApartement_description">Invoer!$E$5</definedName>
    <definedName name="input_GrootteApartement_unit">Invoer!$J$5</definedName>
    <definedName name="input_GrootteApartement_value">Invoer!$I$5</definedName>
    <definedName name="input_OppervlakBuitenGevel_description">Invoer!$E$7</definedName>
    <definedName name="input_OppervlakBuitenGevel_unit">Invoer!$J$7</definedName>
    <definedName name="input_OppervlakBuitenGevel_value">Invoer!$I$7</definedName>
    <definedName name="input_Orientatie_description">Invoer!$E$6</definedName>
    <definedName name="input_Orientatie_value">Invoer!$F$6</definedName>
    <definedName name="input_scenario_description">Scenarios!$D$2</definedName>
    <definedName name="input_scenario_value">Scenarios!$E$2</definedName>
    <definedName name="input_TypeApartement_description">Invoer!$E$4</definedName>
    <definedName name="input_TypeApartement_value">Invoer!$F$4</definedName>
    <definedName name="input_Vloerhoogte_description">Invoer!$E$17</definedName>
    <definedName name="input_Vloerhoogte_value">Invoer!$F$17</definedName>
    <definedName name="Koel_orientatie">'Basis waarden en tabellen'!$B$59:$K$63</definedName>
    <definedName name="Koel_tabel">Coeefficienten!$D$94:$M$98</definedName>
    <definedName name="Koel_UH">Coeefficienten!$M$135:$W$137</definedName>
    <definedName name="KoudeWarmte_description">Invoer!$E$22</definedName>
    <definedName name="KoudeWarmte_value">Invoer!$F$22</definedName>
    <definedName name="Licht_m2">'Basis waarden en tabellen'!$D$53:$Z$54</definedName>
    <definedName name="Licht_vorm">Coeefficienten!$D$73:$F$77</definedName>
    <definedName name="LocatieGegevensEzonWinter_description">Invoer!$E$34</definedName>
    <definedName name="LocatieGegevensEzonWinter_unit">Invoer!$J$34</definedName>
    <definedName name="LocatieGegevensEzonWinter_value">Invoer!$M$34</definedName>
    <definedName name="LocatieGegevensEzonZomer_description">Invoer!$E$33</definedName>
    <definedName name="LocatieGegevensEzonZomer_unit">Invoer!$J$33</definedName>
    <definedName name="LocatieGegevensEzonZomer_value">Invoer!$M$33</definedName>
    <definedName name="LocatieGegevensTgem_description">Invoer!$E$30</definedName>
    <definedName name="LocatieGegevensTgem_unit">Invoer!$J$30</definedName>
    <definedName name="LocatieGegevensTgem_value">Invoer!$M$30</definedName>
    <definedName name="LocatieGegevensTgemWinter_description">Invoer!$E$32</definedName>
    <definedName name="LocatieGegevensTgemWinter_unit">Invoer!$J$32</definedName>
    <definedName name="LocatieGegevensTgemWinter_value">Invoer!$M$32</definedName>
    <definedName name="LocatieGegevensTgemZomer_description">Invoer!$E$31</definedName>
    <definedName name="LocatieGegevensTgemZomer_unit">Invoer!$J$31</definedName>
    <definedName name="LocatieGegevensTgemZomer_value">Invoer!$M$31</definedName>
    <definedName name="Massa_K">Coeefficienten!$D$113:$G$117</definedName>
    <definedName name="Massa_W">Coeefficienten!$D$148:$G$152</definedName>
    <definedName name="materiaal">#REF!</definedName>
    <definedName name="materiaal_nr">#REF!</definedName>
    <definedName name="OppervlakGlasInBuitengevel_description">Invoer!$E$8</definedName>
    <definedName name="OppervlakGlasInBuitengevel_unit">Invoer!$J$8</definedName>
    <definedName name="OppervlakGlasInBuitengevel_value">Invoer!$I$8</definedName>
    <definedName name="Orientatie">Tabellen!$D$12:$K$16</definedName>
    <definedName name="output_Bewoners_description">Resultaten!$F$5</definedName>
    <definedName name="output_Bewoners_unit">Resultaten!$H$5</definedName>
    <definedName name="output_Bewoners_value">Resultaten!$G$5</definedName>
    <definedName name="output_Bezetting_description">Resultaten!$F$6</definedName>
    <definedName name="output_Bezetting_unit">Resultaten!$H$6</definedName>
    <definedName name="output_Bezetting_value">Resultaten!$G$6</definedName>
    <definedName name="output_Gebruiksuren_description">Resultaten!$F$7</definedName>
    <definedName name="output_Gebruiksuren_unit">Resultaten!$H$7</definedName>
    <definedName name="output_Gebruiksuren_value">Resultaten!$G$7</definedName>
    <definedName name="output_TotaalEnergieGebouw_description">Resultaten!$F$9</definedName>
    <definedName name="output_TotaalEnergieGebouw_unit">Resultaten!$H$9</definedName>
    <definedName name="output_TotaalEnergieGebouw_value">Resultaten!$G$9</definedName>
    <definedName name="output_TotaalEnergieGebruik_description">Resultaten!$F$8</definedName>
    <definedName name="output_TotaalEnergieGebruik_unit">Resultaten!$H$8</definedName>
    <definedName name="output_TotaalEnergieGebruik_value">Resultaten!$G$8</definedName>
    <definedName name="output_TotaalEnergieGebruiker_description">Resultaten!$F$16</definedName>
    <definedName name="output_TotaalEnergieGebruiker_unit">Resultaten!$H$16</definedName>
    <definedName name="output_TotaalEnergieGebruiker_value">Resultaten!$G$16</definedName>
    <definedName name="output_TotaalEnergieKoeling_description">Resultaten!$F$13</definedName>
    <definedName name="output_TotaalEnergieKoeling_unit">Resultaten!$J$13</definedName>
    <definedName name="output_TotaalEnergieKoeling_value">Resultaten!$I$13</definedName>
    <definedName name="output_TotaalEnergieMediaApparatuurOverige_description">Resultaten!$F$18</definedName>
    <definedName name="output_TotaalEnergieMediaApparatuurOverige_unit">Resultaten!$J$18</definedName>
    <definedName name="output_TotaalEnergieMediaApparatuurOverige_value">Resultaten!$I$18</definedName>
    <definedName name="output_TotaalEnergieVentilatie_description">Resultaten!$F$12</definedName>
    <definedName name="output_TotaalEnergieVentilatie_unit">Resultaten!$J$12</definedName>
    <definedName name="output_TotaalEnergieVentilatie_value">Resultaten!$I$12</definedName>
    <definedName name="output_TotaalEnergieVerlichting_description">Resultaten!$F$11</definedName>
    <definedName name="output_TotaalEnergieVerlichting_unit">Resultaten!$J$11</definedName>
    <definedName name="output_TotaalEnergieVerlichting_value">Resultaten!$I$11</definedName>
    <definedName name="output_TotaalEnergieVerwarming_description">Resultaten!$F$14</definedName>
    <definedName name="output_TotaalEnergieVerwarming_unit">Resultaten!$J$14</definedName>
    <definedName name="output_TotaalEnergieVerwarming_value">Resultaten!$I$14</definedName>
    <definedName name="output_TotaalEnergieWarmtapwater_description">Resultaten!$F$10</definedName>
    <definedName name="output_TotaalEnergieWarmtapwater_unit">Resultaten!$J$10</definedName>
    <definedName name="output_TotaalEnergieWarmtapwater_value">Resultaten!$I$10</definedName>
    <definedName name="output_TotaalEnergieWasmachineDrogerVaatwasser_description">Resultaten!$F$17</definedName>
    <definedName name="output_TotaalEnergieWasmachineDrogerVaatwasser_unit">Resultaten!$J$17</definedName>
    <definedName name="output_TotaalEnergieWasmachineDrogerVaatwasser_value">Resultaten!$I$17</definedName>
    <definedName name="per_sqm_Gebouw_description">Resultaten!$M$9</definedName>
    <definedName name="per_sqm_Gebouw_value">Resultaten!$K$9</definedName>
    <definedName name="per_sqm_Gebruiker_description">Resultaten!$M$16</definedName>
    <definedName name="per_sqm_Gebruiker_value">Resultaten!$K$16</definedName>
    <definedName name="per_sqm_Koeling_description">Resultaten!$M$13</definedName>
    <definedName name="per_sqm_Koeling_value">Resultaten!$K$13</definedName>
    <definedName name="per_sqm_Media_apparatuur_overige_description">Resultaten!$M$18</definedName>
    <definedName name="per_sqm_Media_apparatuur_overige_value">Resultaten!$K$18</definedName>
    <definedName name="per_sqm_Ventilatie_description">Resultaten!$M$12</definedName>
    <definedName name="per_sqm_Ventilatie_value">Resultaten!$K$12</definedName>
    <definedName name="per_sqm_Verlichting_description">Resultaten!$M$11</definedName>
    <definedName name="per_sqm_Verlichting_value">Resultaten!$K$11</definedName>
    <definedName name="per_sqm_Verwarming_description">Resultaten!$M$14</definedName>
    <definedName name="per_sqm_Verwarming_value">Resultaten!$K$14</definedName>
    <definedName name="per_sqm_Warmtapwater_description">Resultaten!$M$10</definedName>
    <definedName name="per_sqm_Warmtapwater_value">Resultaten!$K$10</definedName>
    <definedName name="per_sqm_Wasmachine_droger_vaatwasser_description">Resultaten!$M$17</definedName>
    <definedName name="per_sqm_Wasmachine_droger_vaatwasser_value">Resultaten!$K$17</definedName>
    <definedName name="Red_dT">'Basis waarden en tabellen'!$D$111</definedName>
    <definedName name="Red_inf">'Basis waarden en tabellen'!$C$91:$E$94</definedName>
    <definedName name="Red_Tr">'Basis waarden en tabellen'!$C$105:$E$108</definedName>
    <definedName name="Red_WL">'Basis waarden en tabellen'!$C$98:$E$101</definedName>
    <definedName name="scenario_selection">Scenarios!$E$2</definedName>
    <definedName name="Scenario_Table">Scenarios!$I$14:$L$21</definedName>
    <definedName name="SvZ">#REF!</definedName>
    <definedName name="SvZ_energie">#REF!</definedName>
    <definedName name="Type">Tabellen!$B$4:$C$8</definedName>
    <definedName name="UrbanHeaIslandTgem_description">Invoer!$E$42</definedName>
    <definedName name="UrbanHeaIslandTgem_unit">Invoer!$J$42</definedName>
    <definedName name="UrbanHeaIslandTgem_value">Invoer!$I$42</definedName>
    <definedName name="UrbanHeaIslandTgemWinter_description">Invoer!$E$44</definedName>
    <definedName name="UrbanHeaIslandTgemWinter_unit">Invoer!$J$44</definedName>
    <definedName name="UrbanHeaIslandTgemWinter_value">Invoer!$I$44</definedName>
    <definedName name="UrbanHeaIslandTgemZomer_description">Invoer!$E$43</definedName>
    <definedName name="UrbanHeaIslandTgemZomer_unit">Invoer!$J$43</definedName>
    <definedName name="UrbanHeaIslandTgemZomer_value">Invoer!$I$43</definedName>
    <definedName name="Uren_factor">Coeefficienten!$F$43</definedName>
    <definedName name="UwaardeBuitengevel_description">Invoer!$E$9</definedName>
    <definedName name="UwaardeBuitengevel_unit">Invoer!$J$9</definedName>
    <definedName name="UwaardeBuitengevel_value">Invoer!$I$9</definedName>
    <definedName name="UwaardeGlas_description">Invoer!$E$10</definedName>
    <definedName name="UwaardeGlas_unit">Invoer!$J$10</definedName>
    <definedName name="UwaardeGlas_value">Invoer!$I$10</definedName>
    <definedName name="Vent_coef">Coeefficienten!$D$38:$I$41</definedName>
    <definedName name="Ventilatie">Tabellen!$B$42:$C$45</definedName>
    <definedName name="ventilatie_tabel">'Basis waarden en tabellen'!$D$38:$Z$49</definedName>
    <definedName name="Ventilatiesysteem_description">Invoer!$E$21</definedName>
    <definedName name="Ventilatiesysteem_value">Invoer!$F$21</definedName>
    <definedName name="Warmte">Tabellen!$B$56:$C$60</definedName>
    <definedName name="Zon_koel_cor">Coeefficienten!#REF!</definedName>
    <definedName name="Zon_koeling">Coeefficienten!#REF!</definedName>
    <definedName name="Zon_reductie">Coeefficienten!$D$26:$F$29</definedName>
    <definedName name="Zonnecollector_description">Invoer!$E$23</definedName>
    <definedName name="Zonnecollector_value">Invoer!$F$23</definedName>
    <definedName name="ZonnecollectorOppervlak_description">Invoer!$H$23</definedName>
    <definedName name="ZonnecollectorOppervlak_unit">Invoer!$J$23</definedName>
    <definedName name="ZonnecollectorOppervlak_value">Invoer!$I$23</definedName>
    <definedName name="ZTAMetZonwering_description">Invoer!$E$12</definedName>
    <definedName name="ZTAMetZonwering_value">Invoer!$I$12</definedName>
    <definedName name="ZTAZonderZonwering_description">Invoer!$E$11</definedName>
    <definedName name="ZTAZonderZonwering_value">Invoer!$I$11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I11" i="6"/>
  <c r="G35" i="6"/>
  <c r="G34" i="6"/>
  <c r="F25" i="1"/>
  <c r="F24" i="1"/>
  <c r="F23" i="1"/>
  <c r="F22" i="1"/>
  <c r="F21" i="1"/>
  <c r="G4" i="1" l="1"/>
  <c r="Q88" i="3" l="1"/>
  <c r="R88" i="3"/>
  <c r="R23" i="2"/>
  <c r="R24" i="2" s="1"/>
  <c r="F83" i="3" l="1"/>
  <c r="Q89" i="3" s="1"/>
  <c r="R89" i="3" l="1"/>
  <c r="S70" i="6"/>
  <c r="F96" i="6"/>
  <c r="J25" i="8"/>
  <c r="K25" i="8"/>
  <c r="L25" i="8"/>
  <c r="Q93" i="3"/>
  <c r="R93" i="3" s="1"/>
  <c r="S93" i="3" s="1"/>
  <c r="T93" i="3" s="1"/>
  <c r="U93" i="3" s="1"/>
  <c r="V93" i="3" s="1"/>
  <c r="W93" i="3" s="1"/>
  <c r="X93" i="3" s="1"/>
  <c r="Y93" i="3" s="1"/>
  <c r="Z93" i="3" s="1"/>
  <c r="AA93" i="3" s="1"/>
  <c r="AB93" i="3" s="1"/>
  <c r="AC93" i="3" s="1"/>
  <c r="P93" i="3"/>
  <c r="J34" i="8"/>
  <c r="K34" i="8"/>
  <c r="L34" i="8"/>
  <c r="I34" i="8"/>
  <c r="J32" i="8"/>
  <c r="K32" i="8"/>
  <c r="L32" i="8"/>
  <c r="I32" i="8"/>
  <c r="J31" i="8"/>
  <c r="K31" i="8"/>
  <c r="L31" i="8"/>
  <c r="I31" i="8"/>
  <c r="J30" i="8"/>
  <c r="K30" i="8"/>
  <c r="L30" i="8"/>
  <c r="I30" i="8"/>
  <c r="J28" i="8"/>
  <c r="K28" i="8"/>
  <c r="L28" i="8"/>
  <c r="I28" i="8"/>
  <c r="J27" i="8"/>
  <c r="K27" i="8"/>
  <c r="L27" i="8"/>
  <c r="I27" i="8"/>
  <c r="J26" i="8"/>
  <c r="K26" i="8"/>
  <c r="L26" i="8"/>
  <c r="I26" i="8"/>
  <c r="G123" i="3"/>
  <c r="Z15" i="6"/>
  <c r="Z14" i="6"/>
  <c r="P23" i="3"/>
  <c r="N21" i="3"/>
  <c r="N22" i="3"/>
  <c r="N23" i="3"/>
  <c r="N20" i="3"/>
  <c r="H21" i="3"/>
  <c r="H22" i="3"/>
  <c r="H23" i="3" s="1"/>
  <c r="G22" i="3"/>
  <c r="Z10" i="6"/>
  <c r="J21" i="3" s="1"/>
  <c r="Z3" i="6"/>
  <c r="Z4" i="6" s="1"/>
  <c r="Z9" i="6" s="1"/>
  <c r="E48" i="8"/>
  <c r="E47" i="8"/>
  <c r="E44" i="8"/>
  <c r="E37" i="8"/>
  <c r="I62" i="6"/>
  <c r="H137" i="3"/>
  <c r="I137" i="3" s="1"/>
  <c r="J137" i="3" s="1"/>
  <c r="F98" i="3"/>
  <c r="F97" i="3"/>
  <c r="F96" i="3"/>
  <c r="F95" i="3"/>
  <c r="F94" i="3"/>
  <c r="G122" i="3" l="1"/>
  <c r="I15" i="1" s="1"/>
  <c r="F69" i="6"/>
  <c r="F21" i="3"/>
  <c r="J22" i="3"/>
  <c r="F22" i="3" s="1"/>
  <c r="Q21" i="3"/>
  <c r="G21" i="3"/>
  <c r="I23" i="1" l="1"/>
  <c r="J23" i="3"/>
  <c r="Q22" i="3"/>
  <c r="Q23" i="3" s="1"/>
  <c r="R23" i="3" s="1"/>
  <c r="R21" i="3"/>
  <c r="R22" i="3" s="1"/>
  <c r="G23" i="3"/>
  <c r="F23" i="3"/>
  <c r="F107" i="3"/>
  <c r="F106" i="3"/>
  <c r="H76" i="4"/>
  <c r="D77" i="4"/>
  <c r="G121" i="3"/>
  <c r="F43" i="3" a="1"/>
  <c r="F43" i="3" s="1"/>
  <c r="G45" i="6"/>
  <c r="G89" i="6"/>
  <c r="G47" i="6"/>
  <c r="G112" i="4"/>
  <c r="G114" i="4"/>
  <c r="G113" i="4"/>
  <c r="G87" i="6"/>
  <c r="G84" i="6"/>
  <c r="I8" i="4"/>
  <c r="I7" i="4"/>
  <c r="I6" i="4"/>
  <c r="F13" i="4"/>
  <c r="F12" i="4" s="1"/>
  <c r="J10" i="4" s="1"/>
  <c r="Q10" i="4"/>
  <c r="G81" i="6"/>
  <c r="J40" i="1"/>
  <c r="I30" i="1"/>
  <c r="M30" i="1" s="1"/>
  <c r="G6" i="1" a="1"/>
  <c r="G6" i="1" s="1"/>
  <c r="E47" i="1"/>
  <c r="E46" i="1"/>
  <c r="E44" i="1"/>
  <c r="C114" i="4" s="1"/>
  <c r="E43" i="1"/>
  <c r="E42" i="1"/>
  <c r="E40" i="1"/>
  <c r="E39" i="1"/>
  <c r="E38" i="1"/>
  <c r="C113" i="4" s="1"/>
  <c r="E37" i="1"/>
  <c r="E36" i="1"/>
  <c r="E34" i="1"/>
  <c r="C112" i="4" s="1"/>
  <c r="E33" i="1"/>
  <c r="E32" i="1"/>
  <c r="E31" i="1"/>
  <c r="E30" i="1"/>
  <c r="G42" i="6" l="1"/>
  <c r="H88" i="3"/>
  <c r="I88" i="3" s="1"/>
  <c r="J88" i="3" s="1"/>
  <c r="K88" i="3" s="1"/>
  <c r="I33" i="1"/>
  <c r="M33" i="1" s="1"/>
  <c r="M39" i="1" s="1"/>
  <c r="M46" i="1" s="1"/>
  <c r="I55" i="6" s="1"/>
  <c r="I32" i="1"/>
  <c r="I31" i="1"/>
  <c r="M31" i="1" s="1"/>
  <c r="M37" i="1" s="1"/>
  <c r="M43" i="1" s="1"/>
  <c r="I60" i="6" s="1"/>
  <c r="I61" i="6" s="1"/>
  <c r="I36" i="1"/>
  <c r="M36" i="1" s="1"/>
  <c r="M42" i="1" s="1"/>
  <c r="H83" i="3"/>
  <c r="H49" i="1"/>
  <c r="G48" i="1"/>
  <c r="G52" i="6"/>
  <c r="H77" i="4"/>
  <c r="D79" i="4"/>
  <c r="G28" i="6"/>
  <c r="J23" i="1"/>
  <c r="J47" i="1"/>
  <c r="J46" i="1"/>
  <c r="J43" i="1"/>
  <c r="J44" i="1"/>
  <c r="J42" i="1"/>
  <c r="H43" i="1"/>
  <c r="H44" i="1"/>
  <c r="H42" i="1"/>
  <c r="G45" i="1"/>
  <c r="K44" i="1"/>
  <c r="G41" i="1"/>
  <c r="J39" i="1"/>
  <c r="J37" i="1"/>
  <c r="J38" i="1"/>
  <c r="J36" i="1"/>
  <c r="H37" i="1"/>
  <c r="H38" i="1"/>
  <c r="H39" i="1"/>
  <c r="H40" i="1"/>
  <c r="H36" i="1"/>
  <c r="J34" i="1"/>
  <c r="J33" i="1"/>
  <c r="J31" i="1"/>
  <c r="J32" i="1"/>
  <c r="J30" i="1"/>
  <c r="H31" i="1"/>
  <c r="H32" i="1"/>
  <c r="H33" i="1"/>
  <c r="H34" i="1"/>
  <c r="H30" i="1"/>
  <c r="K38" i="1"/>
  <c r="G35" i="1"/>
  <c r="K32" i="1"/>
  <c r="G29" i="1"/>
  <c r="G23" i="1"/>
  <c r="G22" i="1"/>
  <c r="G16" i="1"/>
  <c r="G21" i="1"/>
  <c r="G39" i="3"/>
  <c r="F39" i="3"/>
  <c r="G44" i="6" s="1"/>
  <c r="E15" i="1"/>
  <c r="G14" i="1"/>
  <c r="I63" i="4"/>
  <c r="J63" i="4" s="1"/>
  <c r="K63" i="4" s="1"/>
  <c r="E63" i="4"/>
  <c r="F63" i="4" s="1"/>
  <c r="I60" i="4"/>
  <c r="J60" i="4" s="1"/>
  <c r="K60" i="4" s="1"/>
  <c r="E60" i="4"/>
  <c r="F60" i="4" s="1"/>
  <c r="I62" i="4"/>
  <c r="J62" i="4" s="1"/>
  <c r="K62" i="4" s="1"/>
  <c r="E62" i="4"/>
  <c r="F62" i="4" s="1"/>
  <c r="G62" i="4" s="1"/>
  <c r="I59" i="4"/>
  <c r="J59" i="4" s="1"/>
  <c r="K59" i="4" s="1"/>
  <c r="E59" i="4"/>
  <c r="F59" i="4" s="1"/>
  <c r="G59" i="4" s="1"/>
  <c r="L95" i="3"/>
  <c r="L96" i="3" s="1"/>
  <c r="L97" i="3" s="1"/>
  <c r="L98" i="3" s="1"/>
  <c r="J94" i="3"/>
  <c r="J95" i="3" s="1"/>
  <c r="J97" i="3"/>
  <c r="J98" i="3" s="1"/>
  <c r="J96" i="3"/>
  <c r="G69" i="3"/>
  <c r="F67" i="3"/>
  <c r="D53" i="4"/>
  <c r="E53" i="4" s="1"/>
  <c r="O48" i="3"/>
  <c r="O45" i="3"/>
  <c r="G47" i="3"/>
  <c r="H47" i="3" s="1"/>
  <c r="I47" i="3" s="1"/>
  <c r="J47" i="3" s="1"/>
  <c r="K47" i="3" s="1"/>
  <c r="L47" i="3" s="1"/>
  <c r="M47" i="3" s="1"/>
  <c r="G49" i="3"/>
  <c r="H49" i="3"/>
  <c r="I49" i="3"/>
  <c r="J49" i="3"/>
  <c r="K49" i="3"/>
  <c r="L49" i="3"/>
  <c r="M49" i="3"/>
  <c r="F49" i="3"/>
  <c r="H46" i="3"/>
  <c r="I46" i="3"/>
  <c r="J46" i="3"/>
  <c r="K46" i="3"/>
  <c r="L46" i="3"/>
  <c r="M46" i="3"/>
  <c r="G46" i="3"/>
  <c r="G54" i="3"/>
  <c r="F56" i="3"/>
  <c r="F55" i="3"/>
  <c r="F52" i="3"/>
  <c r="F57" i="3" s="1"/>
  <c r="H28" i="4"/>
  <c r="G28" i="4"/>
  <c r="D39" i="4" s="1"/>
  <c r="E38" i="4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10" i="4"/>
  <c r="R10" i="4"/>
  <c r="R9" i="4"/>
  <c r="Q9" i="4"/>
  <c r="P9" i="4"/>
  <c r="E20" i="4"/>
  <c r="F20" i="4" s="1"/>
  <c r="E17" i="4"/>
  <c r="F17" i="4" s="1"/>
  <c r="D19" i="4"/>
  <c r="D22" i="4" s="1"/>
  <c r="D46" i="4" s="1"/>
  <c r="M32" i="1" l="1"/>
  <c r="M38" i="1" s="1"/>
  <c r="M44" i="1" s="1"/>
  <c r="E111" i="4" s="1"/>
  <c r="G53" i="6"/>
  <c r="G76" i="4"/>
  <c r="I34" i="1"/>
  <c r="L88" i="3"/>
  <c r="M88" i="3" s="1"/>
  <c r="N88" i="3" s="1"/>
  <c r="O88" i="3" s="1"/>
  <c r="P88" i="3" s="1"/>
  <c r="P89" i="3" s="1"/>
  <c r="F89" i="3"/>
  <c r="G89" i="3"/>
  <c r="D23" i="4"/>
  <c r="D40" i="4" s="1"/>
  <c r="P38" i="4"/>
  <c r="Q38" i="4" s="1"/>
  <c r="R38" i="4" s="1"/>
  <c r="S38" i="4" s="1"/>
  <c r="T38" i="4" s="1"/>
  <c r="U38" i="4" s="1"/>
  <c r="V38" i="4" s="1"/>
  <c r="W38" i="4" s="1"/>
  <c r="X38" i="4" s="1"/>
  <c r="Y38" i="4" s="1"/>
  <c r="Z38" i="4" s="1"/>
  <c r="Z39" i="4" s="1"/>
  <c r="O89" i="3"/>
  <c r="H89" i="3"/>
  <c r="N89" i="3"/>
  <c r="M89" i="3"/>
  <c r="L89" i="3"/>
  <c r="K89" i="3"/>
  <c r="J89" i="3"/>
  <c r="I89" i="3"/>
  <c r="J41" i="4"/>
  <c r="H81" i="4"/>
  <c r="D54" i="4"/>
  <c r="H78" i="4"/>
  <c r="M94" i="3"/>
  <c r="M97" i="3"/>
  <c r="O97" i="3" s="1"/>
  <c r="M96" i="3"/>
  <c r="O96" i="3" s="1"/>
  <c r="M95" i="3"/>
  <c r="O95" i="3" s="1"/>
  <c r="M98" i="3"/>
  <c r="O98" i="3" s="1"/>
  <c r="G63" i="4"/>
  <c r="G60" i="4"/>
  <c r="F70" i="3"/>
  <c r="G70" i="3"/>
  <c r="H69" i="3"/>
  <c r="O49" i="3"/>
  <c r="O46" i="3"/>
  <c r="F53" i="4"/>
  <c r="I41" i="4"/>
  <c r="H41" i="4"/>
  <c r="V39" i="4"/>
  <c r="G41" i="4"/>
  <c r="G41" i="6" s="1"/>
  <c r="L81" i="4" s="1"/>
  <c r="J81" i="4" s="1"/>
  <c r="F41" i="4"/>
  <c r="E41" i="4"/>
  <c r="M39" i="4"/>
  <c r="K39" i="4"/>
  <c r="J39" i="4"/>
  <c r="Q41" i="4"/>
  <c r="I39" i="4"/>
  <c r="Y41" i="4"/>
  <c r="P39" i="4"/>
  <c r="D41" i="4"/>
  <c r="H39" i="4"/>
  <c r="N39" i="4"/>
  <c r="S41" i="4"/>
  <c r="P41" i="4"/>
  <c r="F39" i="4"/>
  <c r="M41" i="4"/>
  <c r="E39" i="4"/>
  <c r="T39" i="4"/>
  <c r="R39" i="4"/>
  <c r="O41" i="4"/>
  <c r="G39" i="4"/>
  <c r="L41" i="4"/>
  <c r="O39" i="4"/>
  <c r="L39" i="4"/>
  <c r="N41" i="4"/>
  <c r="K41" i="4"/>
  <c r="O47" i="3"/>
  <c r="G57" i="3"/>
  <c r="G56" i="3"/>
  <c r="H54" i="3"/>
  <c r="I54" i="3" s="1"/>
  <c r="J54" i="3" s="1"/>
  <c r="K54" i="3" s="1"/>
  <c r="L54" i="3" s="1"/>
  <c r="M54" i="3" s="1"/>
  <c r="N54" i="3" s="1"/>
  <c r="O54" i="3" s="1"/>
  <c r="P54" i="3" s="1"/>
  <c r="G55" i="3"/>
  <c r="E21" i="4"/>
  <c r="E19" i="4" s="1"/>
  <c r="D24" i="4"/>
  <c r="D45" i="4" s="1"/>
  <c r="D44" i="4" s="1"/>
  <c r="F21" i="4"/>
  <c r="F19" i="4" s="1"/>
  <c r="G17" i="4"/>
  <c r="G20" i="4"/>
  <c r="M34" i="1" l="1"/>
  <c r="M40" i="1" s="1"/>
  <c r="M47" i="1" s="1"/>
  <c r="G77" i="4"/>
  <c r="G97" i="6"/>
  <c r="O94" i="3"/>
  <c r="F104" i="3"/>
  <c r="G78" i="4"/>
  <c r="G79" i="4" s="1"/>
  <c r="G81" i="4" s="1"/>
  <c r="I77" i="4"/>
  <c r="U41" i="4"/>
  <c r="R41" i="4"/>
  <c r="U39" i="4"/>
  <c r="X41" i="4"/>
  <c r="S39" i="4"/>
  <c r="T41" i="4"/>
  <c r="D48" i="4"/>
  <c r="D49" i="4"/>
  <c r="V41" i="4"/>
  <c r="W39" i="4"/>
  <c r="Y39" i="4"/>
  <c r="Z41" i="4"/>
  <c r="X39" i="4"/>
  <c r="W41" i="4"/>
  <c r="Q39" i="4"/>
  <c r="H79" i="4"/>
  <c r="I79" i="4" s="1"/>
  <c r="D70" i="4" s="1"/>
  <c r="J85" i="6" s="1"/>
  <c r="P94" i="3"/>
  <c r="P96" i="3"/>
  <c r="P98" i="3"/>
  <c r="P95" i="3"/>
  <c r="P97" i="3"/>
  <c r="I69" i="3"/>
  <c r="H70" i="3"/>
  <c r="G53" i="4"/>
  <c r="H55" i="3"/>
  <c r="H56" i="3"/>
  <c r="H57" i="3"/>
  <c r="F22" i="4"/>
  <c r="F46" i="4" s="1"/>
  <c r="F23" i="4"/>
  <c r="F40" i="4" s="1"/>
  <c r="F49" i="4" s="1"/>
  <c r="E22" i="4"/>
  <c r="E54" i="4" s="1"/>
  <c r="E23" i="4"/>
  <c r="E40" i="4" s="1"/>
  <c r="E49" i="4" s="1"/>
  <c r="F24" i="4"/>
  <c r="E24" i="4"/>
  <c r="G21" i="4"/>
  <c r="H17" i="4"/>
  <c r="H20" i="4"/>
  <c r="D87" i="4" l="1"/>
  <c r="G24" i="1"/>
  <c r="G85" i="6"/>
  <c r="F45" i="4"/>
  <c r="F44" i="4" s="1"/>
  <c r="F48" i="4" s="1"/>
  <c r="F54" i="4"/>
  <c r="Q94" i="3"/>
  <c r="Q96" i="3"/>
  <c r="Q95" i="3"/>
  <c r="Q97" i="3"/>
  <c r="Q98" i="3"/>
  <c r="J69" i="3"/>
  <c r="I70" i="3"/>
  <c r="E46" i="4"/>
  <c r="E45" i="4" s="1"/>
  <c r="E44" i="4" s="1"/>
  <c r="E48" i="4" s="1"/>
  <c r="H53" i="4"/>
  <c r="I57" i="3"/>
  <c r="I56" i="3"/>
  <c r="I55" i="3"/>
  <c r="G19" i="4"/>
  <c r="G24" i="4" s="1"/>
  <c r="I17" i="4"/>
  <c r="H21" i="4"/>
  <c r="I20" i="4"/>
  <c r="R97" i="3" l="1"/>
  <c r="R94" i="3"/>
  <c r="R98" i="3"/>
  <c r="R95" i="3"/>
  <c r="R96" i="3"/>
  <c r="K69" i="3"/>
  <c r="J70" i="3"/>
  <c r="I53" i="4"/>
  <c r="J57" i="3"/>
  <c r="J55" i="3"/>
  <c r="J56" i="3"/>
  <c r="G22" i="4"/>
  <c r="G54" i="4" s="1"/>
  <c r="G23" i="4"/>
  <c r="G40" i="4" s="1"/>
  <c r="G49" i="4" s="1"/>
  <c r="H19" i="4"/>
  <c r="H24" i="4" s="1"/>
  <c r="J17" i="4"/>
  <c r="I21" i="4"/>
  <c r="I19" i="4" s="1"/>
  <c r="J20" i="4"/>
  <c r="G25" i="1" l="1"/>
  <c r="D111" i="4"/>
  <c r="G88" i="6" s="1"/>
  <c r="S98" i="3"/>
  <c r="S97" i="3"/>
  <c r="S95" i="3"/>
  <c r="S94" i="3"/>
  <c r="S96" i="3"/>
  <c r="L69" i="3"/>
  <c r="K70" i="3"/>
  <c r="G46" i="4"/>
  <c r="G45" i="4" s="1"/>
  <c r="G44" i="4" s="1"/>
  <c r="G48" i="4" s="1"/>
  <c r="G40" i="6" s="1"/>
  <c r="J53" i="4"/>
  <c r="K57" i="3"/>
  <c r="K56" i="3"/>
  <c r="K55" i="3"/>
  <c r="I22" i="4"/>
  <c r="I46" i="4" s="1"/>
  <c r="I23" i="4"/>
  <c r="I40" i="4" s="1"/>
  <c r="I49" i="4" s="1"/>
  <c r="H22" i="4"/>
  <c r="H54" i="4" s="1"/>
  <c r="H23" i="4"/>
  <c r="H40" i="4" s="1"/>
  <c r="H49" i="4" s="1"/>
  <c r="I24" i="4"/>
  <c r="K17" i="4"/>
  <c r="J21" i="4"/>
  <c r="K20" i="4"/>
  <c r="G43" i="6" l="1"/>
  <c r="G82" i="6" s="1"/>
  <c r="D81" i="4"/>
  <c r="I81" i="4" s="1"/>
  <c r="I45" i="4"/>
  <c r="I44" i="4" s="1"/>
  <c r="I48" i="4" s="1"/>
  <c r="I54" i="4"/>
  <c r="T97" i="3"/>
  <c r="T94" i="3"/>
  <c r="T98" i="3"/>
  <c r="T96" i="3"/>
  <c r="T95" i="3"/>
  <c r="M69" i="3"/>
  <c r="L70" i="3"/>
  <c r="K53" i="4"/>
  <c r="H46" i="4"/>
  <c r="H45" i="4" s="1"/>
  <c r="H44" i="4" s="1"/>
  <c r="H48" i="4" s="1"/>
  <c r="L57" i="3"/>
  <c r="L56" i="3"/>
  <c r="L55" i="3"/>
  <c r="J19" i="4"/>
  <c r="J24" i="4" s="1"/>
  <c r="L17" i="4"/>
  <c r="K21" i="4"/>
  <c r="L20" i="4"/>
  <c r="G46" i="6" l="1"/>
  <c r="G48" i="6" s="1"/>
  <c r="J49" i="6" s="1"/>
  <c r="I12" i="6" s="1"/>
  <c r="K12" i="6" s="1"/>
  <c r="D71" i="4"/>
  <c r="J83" i="6" s="1"/>
  <c r="G83" i="6"/>
  <c r="U97" i="3"/>
  <c r="U94" i="3"/>
  <c r="U98" i="3"/>
  <c r="U95" i="3"/>
  <c r="U96" i="3"/>
  <c r="N69" i="3"/>
  <c r="M70" i="3"/>
  <c r="L53" i="4"/>
  <c r="M57" i="3"/>
  <c r="M55" i="3"/>
  <c r="M56" i="3"/>
  <c r="J22" i="4"/>
  <c r="J54" i="4" s="1"/>
  <c r="J23" i="4"/>
  <c r="J40" i="4" s="1"/>
  <c r="J49" i="4" s="1"/>
  <c r="K19" i="4"/>
  <c r="M17" i="4"/>
  <c r="L21" i="4"/>
  <c r="M20" i="4"/>
  <c r="D76" i="4" l="1"/>
  <c r="V98" i="3"/>
  <c r="V94" i="3"/>
  <c r="V97" i="3"/>
  <c r="V95" i="3"/>
  <c r="V96" i="3"/>
  <c r="O69" i="3"/>
  <c r="N70" i="3"/>
  <c r="J46" i="4"/>
  <c r="J45" i="4" s="1"/>
  <c r="J44" i="4" s="1"/>
  <c r="J48" i="4" s="1"/>
  <c r="M53" i="4"/>
  <c r="N57" i="3"/>
  <c r="N55" i="3"/>
  <c r="N56" i="3"/>
  <c r="K22" i="4"/>
  <c r="K54" i="4" s="1"/>
  <c r="K23" i="4"/>
  <c r="K40" i="4" s="1"/>
  <c r="K49" i="4" s="1"/>
  <c r="L19" i="4"/>
  <c r="K24" i="4"/>
  <c r="N17" i="4"/>
  <c r="M21" i="4"/>
  <c r="N20" i="4"/>
  <c r="K49" i="1" l="1"/>
  <c r="M49" i="1" s="1"/>
  <c r="F82" i="3" s="1"/>
  <c r="G82" i="3" s="1"/>
  <c r="I8" i="1"/>
  <c r="F76" i="4"/>
  <c r="I76" i="4" s="1"/>
  <c r="W98" i="3"/>
  <c r="W97" i="3"/>
  <c r="W95" i="3"/>
  <c r="W94" i="3"/>
  <c r="W96" i="3"/>
  <c r="P69" i="3"/>
  <c r="O70" i="3"/>
  <c r="N53" i="4"/>
  <c r="K46" i="4"/>
  <c r="K45" i="4" s="1"/>
  <c r="K44" i="4" s="1"/>
  <c r="K48" i="4" s="1"/>
  <c r="O57" i="3"/>
  <c r="O55" i="3"/>
  <c r="O56" i="3"/>
  <c r="L22" i="4"/>
  <c r="L54" i="4" s="1"/>
  <c r="L23" i="4"/>
  <c r="L40" i="4" s="1"/>
  <c r="L49" i="4" s="1"/>
  <c r="M19" i="4"/>
  <c r="L24" i="4"/>
  <c r="O17" i="4"/>
  <c r="N21" i="4"/>
  <c r="O20" i="4"/>
  <c r="F78" i="4" l="1"/>
  <c r="I80" i="3"/>
  <c r="J80" i="3" s="1"/>
  <c r="F80" i="3" s="1"/>
  <c r="J87" i="4"/>
  <c r="F87" i="4" s="1"/>
  <c r="G6" i="6"/>
  <c r="I85" i="4" s="1"/>
  <c r="G5" i="6"/>
  <c r="G7" i="6"/>
  <c r="F84" i="3" s="1"/>
  <c r="H84" i="3" s="1"/>
  <c r="P70" i="3"/>
  <c r="Q69" i="3"/>
  <c r="X95" i="3"/>
  <c r="X97" i="3"/>
  <c r="X98" i="3"/>
  <c r="X96" i="3"/>
  <c r="X94" i="3"/>
  <c r="L46" i="4"/>
  <c r="L45" i="4" s="1"/>
  <c r="L44" i="4" s="1"/>
  <c r="L48" i="4" s="1"/>
  <c r="O53" i="4"/>
  <c r="P56" i="3"/>
  <c r="P57" i="3"/>
  <c r="P55" i="3"/>
  <c r="M22" i="4"/>
  <c r="M54" i="4" s="1"/>
  <c r="M23" i="4"/>
  <c r="N19" i="4"/>
  <c r="M24" i="4"/>
  <c r="P17" i="4"/>
  <c r="O21" i="4"/>
  <c r="P20" i="4"/>
  <c r="F103" i="3" l="1"/>
  <c r="F105" i="3" s="1"/>
  <c r="L76" i="4"/>
  <c r="I78" i="4"/>
  <c r="G54" i="6"/>
  <c r="Q90" i="3"/>
  <c r="R90" i="3"/>
  <c r="K85" i="4"/>
  <c r="F85" i="4" s="1"/>
  <c r="J21" i="6"/>
  <c r="I17" i="6" s="1"/>
  <c r="K17" i="6" s="1"/>
  <c r="G26" i="6"/>
  <c r="G27" i="6" s="1"/>
  <c r="G30" i="6" s="1"/>
  <c r="N30" i="6" s="1"/>
  <c r="Q70" i="3"/>
  <c r="R69" i="3"/>
  <c r="M40" i="4"/>
  <c r="M49" i="4" s="1"/>
  <c r="J23" i="6"/>
  <c r="Y95" i="3"/>
  <c r="Y97" i="3"/>
  <c r="Y94" i="3"/>
  <c r="Y96" i="3"/>
  <c r="Y98" i="3"/>
  <c r="M46" i="4"/>
  <c r="M45" i="4" s="1"/>
  <c r="M44" i="4" s="1"/>
  <c r="P53" i="4"/>
  <c r="N22" i="4"/>
  <c r="N54" i="4" s="1"/>
  <c r="N23" i="4"/>
  <c r="N40" i="4" s="1"/>
  <c r="N49" i="4" s="1"/>
  <c r="O19" i="4"/>
  <c r="N24" i="4"/>
  <c r="P21" i="4"/>
  <c r="Q17" i="4"/>
  <c r="Q20" i="4"/>
  <c r="D69" i="4" l="1"/>
  <c r="P71" i="6"/>
  <c r="H82" i="3"/>
  <c r="J36" i="6" s="1"/>
  <c r="K11" i="6" s="1"/>
  <c r="G90" i="3"/>
  <c r="H90" i="3"/>
  <c r="N90" i="3"/>
  <c r="K90" i="3"/>
  <c r="P90" i="3"/>
  <c r="L90" i="3"/>
  <c r="M90" i="3"/>
  <c r="J90" i="3"/>
  <c r="O90" i="3"/>
  <c r="F90" i="3"/>
  <c r="I90" i="3"/>
  <c r="J31" i="6"/>
  <c r="I10" i="6" s="1"/>
  <c r="K10" i="6" s="1"/>
  <c r="M48" i="4"/>
  <c r="I18" i="6"/>
  <c r="G16" i="6"/>
  <c r="K16" i="6" s="1"/>
  <c r="R70" i="3"/>
  <c r="S69" i="3"/>
  <c r="S70" i="3" s="1"/>
  <c r="Z98" i="3"/>
  <c r="Z95" i="3"/>
  <c r="Z96" i="3"/>
  <c r="Z94" i="3"/>
  <c r="Z97" i="3"/>
  <c r="N46" i="4"/>
  <c r="N45" i="4" s="1"/>
  <c r="N44" i="4" s="1"/>
  <c r="N48" i="4" s="1"/>
  <c r="Q53" i="4"/>
  <c r="O22" i="4"/>
  <c r="O54" i="4" s="1"/>
  <c r="O23" i="4"/>
  <c r="O40" i="4" s="1"/>
  <c r="O49" i="4" s="1"/>
  <c r="P19" i="4"/>
  <c r="O24" i="4"/>
  <c r="R17" i="4"/>
  <c r="Q21" i="4"/>
  <c r="R20" i="4"/>
  <c r="J90" i="6" l="1"/>
  <c r="G90" i="6" s="1"/>
  <c r="D68" i="4"/>
  <c r="Q10" i="6"/>
  <c r="O10" i="6" s="1"/>
  <c r="U10" i="6"/>
  <c r="S10" i="6" s="1"/>
  <c r="K18" i="6"/>
  <c r="D86" i="4"/>
  <c r="F86" i="4" s="1"/>
  <c r="AA95" i="3"/>
  <c r="AA98" i="3"/>
  <c r="AA97" i="3"/>
  <c r="AA94" i="3"/>
  <c r="AA96" i="3"/>
  <c r="O46" i="4"/>
  <c r="O45" i="4" s="1"/>
  <c r="O44" i="4" s="1"/>
  <c r="O48" i="4" s="1"/>
  <c r="R53" i="4"/>
  <c r="P22" i="4"/>
  <c r="P54" i="4" s="1"/>
  <c r="P23" i="4"/>
  <c r="P40" i="4" s="1"/>
  <c r="P49" i="4" s="1"/>
  <c r="Q19" i="4"/>
  <c r="P24" i="4"/>
  <c r="R21" i="4"/>
  <c r="S17" i="4"/>
  <c r="S20" i="4"/>
  <c r="AB98" i="3" l="1"/>
  <c r="AB95" i="3"/>
  <c r="AB97" i="3"/>
  <c r="AB94" i="3"/>
  <c r="AB96" i="3"/>
  <c r="P46" i="4"/>
  <c r="P45" i="4" s="1"/>
  <c r="P44" i="4" s="1"/>
  <c r="P48" i="4" s="1"/>
  <c r="S53" i="4"/>
  <c r="Q22" i="4"/>
  <c r="Q54" i="4" s="1"/>
  <c r="Q23" i="4"/>
  <c r="Q40" i="4" s="1"/>
  <c r="Q49" i="4" s="1"/>
  <c r="Q24" i="4"/>
  <c r="R19" i="4"/>
  <c r="R24" i="4"/>
  <c r="S21" i="4"/>
  <c r="T17" i="4"/>
  <c r="T20" i="4"/>
  <c r="AC98" i="3" l="1"/>
  <c r="AC95" i="3"/>
  <c r="AC97" i="3"/>
  <c r="AC94" i="3"/>
  <c r="AC96" i="3"/>
  <c r="Q46" i="4"/>
  <c r="Q45" i="4" s="1"/>
  <c r="Q44" i="4" s="1"/>
  <c r="Q48" i="4" s="1"/>
  <c r="T53" i="4"/>
  <c r="R22" i="4"/>
  <c r="R54" i="4" s="1"/>
  <c r="R23" i="4"/>
  <c r="R40" i="4" s="1"/>
  <c r="R49" i="4" s="1"/>
  <c r="S19" i="4"/>
  <c r="U17" i="4"/>
  <c r="T21" i="4"/>
  <c r="U20" i="4"/>
  <c r="R46" i="4" l="1"/>
  <c r="R45" i="4" s="1"/>
  <c r="R44" i="4" s="1"/>
  <c r="R48" i="4" s="1"/>
  <c r="U53" i="4"/>
  <c r="S22" i="4"/>
  <c r="S54" i="4" s="1"/>
  <c r="S23" i="4"/>
  <c r="S40" i="4" s="1"/>
  <c r="S49" i="4" s="1"/>
  <c r="T19" i="4"/>
  <c r="T24" i="4" s="1"/>
  <c r="S24" i="4"/>
  <c r="V17" i="4"/>
  <c r="U21" i="4"/>
  <c r="V20" i="4"/>
  <c r="G56" i="6" l="1"/>
  <c r="G57" i="6" s="1"/>
  <c r="G58" i="6" s="1"/>
  <c r="G59" i="6" s="1"/>
  <c r="S46" i="4"/>
  <c r="V53" i="4"/>
  <c r="S45" i="4"/>
  <c r="S44" i="4" s="1"/>
  <c r="S48" i="4" s="1"/>
  <c r="T22" i="4"/>
  <c r="T54" i="4" s="1"/>
  <c r="T23" i="4"/>
  <c r="T40" i="4" s="1"/>
  <c r="T49" i="4" s="1"/>
  <c r="U19" i="4"/>
  <c r="W17" i="4"/>
  <c r="V21" i="4"/>
  <c r="V19" i="4" s="1"/>
  <c r="W20" i="4"/>
  <c r="T46" i="4" l="1"/>
  <c r="T45" i="4" s="1"/>
  <c r="T44" i="4" s="1"/>
  <c r="T48" i="4" s="1"/>
  <c r="W53" i="4"/>
  <c r="V22" i="4"/>
  <c r="V46" i="4" s="1"/>
  <c r="V23" i="4"/>
  <c r="V40" i="4" s="1"/>
  <c r="V49" i="4" s="1"/>
  <c r="U22" i="4"/>
  <c r="U54" i="4" s="1"/>
  <c r="U23" i="4"/>
  <c r="U40" i="4" s="1"/>
  <c r="U49" i="4" s="1"/>
  <c r="U24" i="4"/>
  <c r="V24" i="4"/>
  <c r="X17" i="4"/>
  <c r="W21" i="4"/>
  <c r="X20" i="4"/>
  <c r="V54" i="4" l="1"/>
  <c r="U46" i="4"/>
  <c r="V45" i="4"/>
  <c r="V44" i="4" s="1"/>
  <c r="V48" i="4" s="1"/>
  <c r="U45" i="4"/>
  <c r="U44" i="4" s="1"/>
  <c r="U48" i="4" s="1"/>
  <c r="X53" i="4"/>
  <c r="W19" i="4"/>
  <c r="W24" i="4"/>
  <c r="Y17" i="4"/>
  <c r="X21" i="4"/>
  <c r="Y20" i="4"/>
  <c r="Y53" i="4" l="1"/>
  <c r="W22" i="4"/>
  <c r="W54" i="4" s="1"/>
  <c r="W23" i="4"/>
  <c r="W40" i="4" s="1"/>
  <c r="W49" i="4" s="1"/>
  <c r="X19" i="4"/>
  <c r="Z17" i="4"/>
  <c r="Z21" i="4" s="1"/>
  <c r="Y21" i="4"/>
  <c r="Z20" i="4"/>
  <c r="Z19" i="4" l="1"/>
  <c r="W46" i="4"/>
  <c r="W45" i="4" s="1"/>
  <c r="W44" i="4" s="1"/>
  <c r="W48" i="4" s="1"/>
  <c r="Z53" i="4"/>
  <c r="X22" i="4"/>
  <c r="X54" i="4" s="1"/>
  <c r="X23" i="4"/>
  <c r="X40" i="4" s="1"/>
  <c r="X49" i="4" s="1"/>
  <c r="Z22" i="4"/>
  <c r="Z46" i="4" s="1"/>
  <c r="Z23" i="4"/>
  <c r="Z40" i="4" s="1"/>
  <c r="Z49" i="4" s="1"/>
  <c r="X24" i="4"/>
  <c r="Y19" i="4"/>
  <c r="Z24" i="4"/>
  <c r="G63" i="6" l="1"/>
  <c r="G65" i="6" s="1"/>
  <c r="G69" i="6" s="1"/>
  <c r="P69" i="6" s="1"/>
  <c r="P70" i="6" s="1"/>
  <c r="P72" i="6" s="1"/>
  <c r="G71" i="6" s="1"/>
  <c r="Z54" i="4"/>
  <c r="X46" i="4"/>
  <c r="X45" i="4" s="1"/>
  <c r="X44" i="4" s="1"/>
  <c r="X48" i="4" s="1"/>
  <c r="Z45" i="4"/>
  <c r="Z44" i="4" s="1"/>
  <c r="Z48" i="4" s="1"/>
  <c r="Y22" i="4"/>
  <c r="Y54" i="4" s="1"/>
  <c r="Y23" i="4"/>
  <c r="Y40" i="4" s="1"/>
  <c r="Y49" i="4" s="1"/>
  <c r="Y24" i="4"/>
  <c r="G72" i="6" l="1"/>
  <c r="G73" i="6" s="1"/>
  <c r="G70" i="6"/>
  <c r="Y46" i="4"/>
  <c r="Y45" i="4" s="1"/>
  <c r="Y44" i="4" s="1"/>
  <c r="Y48" i="4" s="1"/>
  <c r="G66" i="6" l="1"/>
  <c r="J67" i="6" s="1"/>
  <c r="J75" i="6" l="1"/>
  <c r="I13" i="6"/>
  <c r="K13" i="6" s="1"/>
  <c r="G80" i="6"/>
  <c r="D84" i="4"/>
  <c r="F84" i="4" l="1"/>
  <c r="D72" i="4" s="1"/>
  <c r="G86" i="6" s="1"/>
  <c r="G92" i="6" l="1"/>
  <c r="G93" i="6" l="1"/>
  <c r="J94" i="6" s="1"/>
  <c r="I14" i="6" s="1"/>
  <c r="G96" i="6"/>
  <c r="G98" i="6" s="1"/>
  <c r="G99" i="6" s="1"/>
  <c r="G100" i="6" s="1"/>
  <c r="N93" i="6" l="1"/>
  <c r="G9" i="6"/>
  <c r="K9" i="6" s="1"/>
  <c r="J102" i="6"/>
  <c r="G8" i="6" l="1"/>
  <c r="K14" i="6"/>
  <c r="W23" i="6"/>
  <c r="U14" i="6" l="1"/>
  <c r="S14" i="6" s="1"/>
  <c r="S21" i="6" s="1"/>
  <c r="S22" i="6" s="1"/>
  <c r="S23" i="6" s="1"/>
  <c r="Q14" i="6"/>
  <c r="O1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<sst xmlns="http://schemas.openxmlformats.org/spreadsheetml/2006/main" count="1197" uniqueCount="591">
  <si>
    <t xml:space="preserve">Scenario Selection </t>
  </si>
  <si>
    <t>SC1</t>
  </si>
  <si>
    <t>Ruimtelijke modellen</t>
  </si>
  <si>
    <t>Traditionele ' glas' en techniek architectuur met beton</t>
  </si>
  <si>
    <t>Natuurlijk + warmtepompen</t>
  </si>
  <si>
    <t>Natuurlijk innovatief; indirecte wtw &amp; slimme SV</t>
  </si>
  <si>
    <t>Passive House + SV voor tapwater</t>
  </si>
  <si>
    <t>Plan brugers 1</t>
  </si>
  <si>
    <t>Plan Burgers 2</t>
  </si>
  <si>
    <t>Masterplan</t>
  </si>
  <si>
    <t>Torens</t>
  </si>
  <si>
    <t>Gallerijen</t>
  </si>
  <si>
    <t>Handmatig in te voeren parameters:</t>
  </si>
  <si>
    <t>SC2</t>
  </si>
  <si>
    <t>SC3</t>
  </si>
  <si>
    <t>SC4</t>
  </si>
  <si>
    <t>Dak (indien appartement dak heeft)</t>
  </si>
  <si>
    <t>eventueel</t>
  </si>
  <si>
    <t>Constructie wijze</t>
  </si>
  <si>
    <t>Ventilatiesysteem</t>
  </si>
  <si>
    <t>Koude/warmte</t>
  </si>
  <si>
    <t>Zonnecollector</t>
  </si>
  <si>
    <t>Douche wtw</t>
  </si>
  <si>
    <r>
      <t>CO</t>
    </r>
    <r>
      <rPr>
        <sz val="9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regeling ventilatie</t>
    </r>
  </si>
  <si>
    <t>Parameters:</t>
  </si>
  <si>
    <t>% Glas</t>
  </si>
  <si>
    <t>U dichte gevel</t>
  </si>
  <si>
    <t>Uglas</t>
  </si>
  <si>
    <t>Dak</t>
  </si>
  <si>
    <t>Constructie</t>
  </si>
  <si>
    <t>hout</t>
  </si>
  <si>
    <t>hybride</t>
  </si>
  <si>
    <t>beton</t>
  </si>
  <si>
    <t>collectief</t>
  </si>
  <si>
    <t>individueel</t>
  </si>
  <si>
    <t>nee</t>
  </si>
  <si>
    <t>ja</t>
  </si>
  <si>
    <t>Locatie gegevens Tgem</t>
  </si>
  <si>
    <t>ΔT</t>
  </si>
  <si>
    <t>Locatie gegevens Tgem.zomer</t>
  </si>
  <si>
    <t>Locatie gegevens Tgem.winter</t>
  </si>
  <si>
    <t>Locatie gegevens Ezon.zomer</t>
  </si>
  <si>
    <t>ΔP</t>
  </si>
  <si>
    <t>Locatie gegevensEzon.winter</t>
  </si>
  <si>
    <t>Climate Change effect Tgem</t>
  </si>
  <si>
    <t>Climate Change effect Tgem.zomer</t>
  </si>
  <si>
    <t>Climate Change effect Tgem.winter</t>
  </si>
  <si>
    <t>Climate Change effect Ezon.zomer</t>
  </si>
  <si>
    <t>Climate Change effect Ezon.winter</t>
  </si>
  <si>
    <t>Apartement</t>
  </si>
  <si>
    <t>Index</t>
  </si>
  <si>
    <t>#Type</t>
  </si>
  <si>
    <t>Type apartement</t>
  </si>
  <si>
    <t>Parametrisch of het 1,2 of 3is (eenzijdig, hoek, gallerij) handmatig of het 1/2 of 4/5 (natuurlijk geventileerde kern = X-ventilatie in toren is)</t>
  </si>
  <si>
    <t>#Grootte</t>
  </si>
  <si>
    <t>Grootte</t>
  </si>
  <si>
    <r>
      <t>m</t>
    </r>
    <r>
      <rPr>
        <sz val="11"/>
        <color theme="1"/>
        <rFont val="Aptos Narrow"/>
        <family val="2"/>
      </rPr>
      <t>²</t>
    </r>
  </si>
  <si>
    <t>#Orient</t>
  </si>
  <si>
    <t>Orientatie</t>
  </si>
  <si>
    <t>#Agevel</t>
  </si>
  <si>
    <t>Oppervlak buiten gevel</t>
  </si>
  <si>
    <t>#Aglas</t>
  </si>
  <si>
    <t>%Glas</t>
  </si>
  <si>
    <t>Oppervlak glas in buitengevel</t>
  </si>
  <si>
    <t>mogelijk moeten we vooraf zelf een % glas opgeven als het nog niet in het model zit</t>
  </si>
  <si>
    <t>#Ugevel</t>
  </si>
  <si>
    <t>Uwaarde buitengevel</t>
  </si>
  <si>
    <r>
      <t>W/K.m</t>
    </r>
    <r>
      <rPr>
        <sz val="11"/>
        <color theme="1"/>
        <rFont val="Aptos Narrow"/>
        <family val="2"/>
      </rPr>
      <t>²</t>
    </r>
  </si>
  <si>
    <t>#Uglas</t>
  </si>
  <si>
    <t>Uwaarde glas</t>
  </si>
  <si>
    <t>#ZTA_W</t>
  </si>
  <si>
    <t>ZTA zonder zonwering</t>
  </si>
  <si>
    <t>#ZTA_Z</t>
  </si>
  <si>
    <t>ZTA met zonwering</t>
  </si>
  <si>
    <t>Dak (J/N)</t>
  </si>
  <si>
    <t>#Dak_t</t>
  </si>
  <si>
    <t>Als er een dak is, handatig aangeven zwart/groen - parametrisch of apartmenet een dak heeft dus 1 of 2/3 parametrisch 2 f 3 handmatig</t>
  </si>
  <si>
    <t>#Massa</t>
  </si>
  <si>
    <t>#Hoogte</t>
  </si>
  <si>
    <t>Vloerhoogte</t>
  </si>
  <si>
    <t>m</t>
  </si>
  <si>
    <t>Installatie gegevens</t>
  </si>
  <si>
    <t>ZonnecollectorOppervlak</t>
  </si>
  <si>
    <t>Buitenklimaat gegevens</t>
  </si>
  <si>
    <t>Locatie gegevens</t>
  </si>
  <si>
    <t>indien bekend</t>
  </si>
  <si>
    <t>Standaard klimaatjaar</t>
  </si>
  <si>
    <t>°C</t>
  </si>
  <si>
    <t>dT_Loc_Z</t>
  </si>
  <si>
    <t>dT_Loc_W</t>
  </si>
  <si>
    <t>dS_Loc_Z</t>
  </si>
  <si>
    <t>kWh/m²</t>
  </si>
  <si>
    <t>dS_Loc_W</t>
  </si>
  <si>
    <t>Climate Change effect</t>
  </si>
  <si>
    <t>dT_CC_Z</t>
  </si>
  <si>
    <t>dT_CC_W</t>
  </si>
  <si>
    <t>dS_CC_Z</t>
  </si>
  <si>
    <t>dS_CC_W</t>
  </si>
  <si>
    <t>Urban Heat Island</t>
  </si>
  <si>
    <t>ground level</t>
  </si>
  <si>
    <t>per appartrment corrected for real height</t>
  </si>
  <si>
    <t>dT_UHI_Z</t>
  </si>
  <si>
    <t>dT_UHI_W</t>
  </si>
  <si>
    <t>Bezonning gevel</t>
  </si>
  <si>
    <t>S_ber_Z</t>
  </si>
  <si>
    <t>façade of main orienattion</t>
  </si>
  <si>
    <t>S_ber_W</t>
  </si>
  <si>
    <t>Berekend daglicht factor</t>
  </si>
  <si>
    <t>DF_ber</t>
  </si>
  <si>
    <t>corrected Yara output with % of glass</t>
  </si>
  <si>
    <t>factor correctoion still needs test</t>
  </si>
  <si>
    <t>Parametrisch</t>
  </si>
  <si>
    <t>Uit kllimaat modellen</t>
  </si>
  <si>
    <t>multiplier % glass in façade x LTA = 0,7</t>
  </si>
  <si>
    <t>Handmatig</t>
  </si>
  <si>
    <t>Calculated factor daylight without facades</t>
  </si>
  <si>
    <t>Combi hand-parameter</t>
  </si>
  <si>
    <t>Normal (standard DF in apartment</t>
  </si>
  <si>
    <t>Assumed</t>
  </si>
  <si>
    <t>kWh</t>
  </si>
  <si>
    <t>MJ</t>
  </si>
  <si>
    <t>Bewoners</t>
  </si>
  <si>
    <t>#</t>
  </si>
  <si>
    <t>Bezetting</t>
  </si>
  <si>
    <t>GJ stadsverwaming</t>
  </si>
  <si>
    <r>
      <t>kg CO</t>
    </r>
    <r>
      <rPr>
        <sz val="9"/>
        <color theme="1"/>
        <rFont val="Aptos Narrow"/>
        <family val="2"/>
        <scheme val="minor"/>
      </rPr>
      <t>2</t>
    </r>
  </si>
  <si>
    <t>kg CO2</t>
  </si>
  <si>
    <t>Gebruiksuren</t>
  </si>
  <si>
    <t>uur</t>
  </si>
  <si>
    <t>GJ</t>
  </si>
  <si>
    <t>Totaal energie gebruik [e]</t>
  </si>
  <si>
    <t>kWh/j</t>
  </si>
  <si>
    <r>
      <t>CO</t>
    </r>
    <r>
      <rPr>
        <sz val="9"/>
        <color theme="1"/>
        <rFont val="Aptos Narrow"/>
        <family val="2"/>
        <scheme val="minor"/>
      </rPr>
      <t>2</t>
    </r>
    <r>
      <rPr>
        <sz val="8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equivalente kWh</t>
    </r>
  </si>
  <si>
    <t xml:space="preserve">kWh elektrisch </t>
  </si>
  <si>
    <t>GJ stadsverwarming</t>
  </si>
  <si>
    <t>Gebouw</t>
  </si>
  <si>
    <r>
      <t>kWh/j/m</t>
    </r>
    <r>
      <rPr>
        <sz val="11"/>
        <color theme="1"/>
        <rFont val="Aptos Narrow"/>
        <family val="2"/>
      </rPr>
      <t>²</t>
    </r>
  </si>
  <si>
    <t>Gebouw_per_sqm</t>
  </si>
  <si>
    <t>GJ =</t>
  </si>
  <si>
    <t>Warmtapwater</t>
  </si>
  <si>
    <t>kWh[e]</t>
  </si>
  <si>
    <t>Warmtapwater_per_sqm</t>
  </si>
  <si>
    <t>kWh/app</t>
  </si>
  <si>
    <r>
      <t>kWh/j.m</t>
    </r>
    <r>
      <rPr>
        <sz val="11"/>
        <color theme="1"/>
        <rFont val="Aptos Narrow"/>
        <family val="2"/>
      </rPr>
      <t>²</t>
    </r>
  </si>
  <si>
    <t>GJ/app.j</t>
  </si>
  <si>
    <r>
      <t>MJ/j.m</t>
    </r>
    <r>
      <rPr>
        <sz val="11"/>
        <color theme="1"/>
        <rFont val="Aptos Narrow"/>
        <family val="2"/>
      </rPr>
      <t>²</t>
    </r>
  </si>
  <si>
    <r>
      <t xml:space="preserve">GJ sv </t>
    </r>
    <r>
      <rPr>
        <sz val="11"/>
        <color theme="1"/>
        <rFont val="Aptos"/>
        <family val="2"/>
      </rPr>
      <t>~</t>
    </r>
  </si>
  <si>
    <r>
      <t>kWh based on CO</t>
    </r>
    <r>
      <rPr>
        <sz val="9"/>
        <color theme="1"/>
        <rFont val="Aptos Narrow"/>
        <family val="2"/>
        <scheme val="minor"/>
      </rPr>
      <t>2</t>
    </r>
  </si>
  <si>
    <t>Verlichting</t>
  </si>
  <si>
    <t>Verlichting_per_sqm</t>
  </si>
  <si>
    <t>Ventilatie</t>
  </si>
  <si>
    <t>Ventilatie_per_sqm</t>
  </si>
  <si>
    <t>Koeling</t>
  </si>
  <si>
    <t>Koeling_per_sqm</t>
  </si>
  <si>
    <t>Verwarming</t>
  </si>
  <si>
    <t>Verwarming_per_sqm</t>
  </si>
  <si>
    <t>m3 aardgas</t>
  </si>
  <si>
    <t>m3 HR</t>
  </si>
  <si>
    <t>Gebruiker</t>
  </si>
  <si>
    <t>Gebruiker_per_sqm</t>
  </si>
  <si>
    <t>Wasmachine, droger,vaatwasser</t>
  </si>
  <si>
    <t>Wasmachine, droger,vaatwasser_per_sqm</t>
  </si>
  <si>
    <t>Media apparatuur, overige</t>
  </si>
  <si>
    <t>Media apparatuur, overige__per_sqm</t>
  </si>
  <si>
    <t>Wasmachine, vaatwasser, droger</t>
  </si>
  <si>
    <t>m3 aardgas equivalent (SV equivalenten)</t>
  </si>
  <si>
    <t>kg CO2 [HR ketel]</t>
  </si>
  <si>
    <t>kWh[eq] e inkoop tov van</t>
  </si>
  <si>
    <t xml:space="preserve">Warmtapwater </t>
  </si>
  <si>
    <t>Warmtapwater [basis]</t>
  </si>
  <si>
    <t>warmte</t>
  </si>
  <si>
    <t>reductie douche wtw</t>
  </si>
  <si>
    <t>reductie zonthermisch</t>
  </si>
  <si>
    <t>Warmtapwater warmte</t>
  </si>
  <si>
    <t>w</t>
  </si>
  <si>
    <t>m3 aardgas eq.</t>
  </si>
  <si>
    <t>Warmtapwater elektra</t>
  </si>
  <si>
    <t>e</t>
  </si>
  <si>
    <t>Verlichting[basis]</t>
  </si>
  <si>
    <t>F[DF]</t>
  </si>
  <si>
    <t>Verlichting elektra</t>
  </si>
  <si>
    <t>debiet</t>
  </si>
  <si>
    <t>l/s.gem</t>
  </si>
  <si>
    <r>
      <t>met CO</t>
    </r>
    <r>
      <rPr>
        <sz val="9"/>
        <color theme="1"/>
        <rFont val="Aptos Narrow"/>
        <family val="2"/>
        <scheme val="minor"/>
      </rPr>
      <t>2</t>
    </r>
  </si>
  <si>
    <t>l/s.max</t>
  </si>
  <si>
    <r>
      <t>zonder CO</t>
    </r>
    <r>
      <rPr>
        <sz val="9"/>
        <color theme="1"/>
        <rFont val="Aptos Narrow"/>
        <family val="2"/>
        <scheme val="minor"/>
      </rPr>
      <t>2</t>
    </r>
  </si>
  <si>
    <t>Vormfactor</t>
  </si>
  <si>
    <t>Debiet_calc</t>
  </si>
  <si>
    <t>l/s</t>
  </si>
  <si>
    <t>dPmin</t>
  </si>
  <si>
    <t>Pa</t>
  </si>
  <si>
    <t>dPmax</t>
  </si>
  <si>
    <t>dPgem</t>
  </si>
  <si>
    <t>Gebruikstijd</t>
  </si>
  <si>
    <t>Gem.vermogen</t>
  </si>
  <si>
    <t>Wgem.</t>
  </si>
  <si>
    <t>Koeling [basis]</t>
  </si>
  <si>
    <r>
      <t>kWh/m</t>
    </r>
    <r>
      <rPr>
        <b/>
        <sz val="11"/>
        <color theme="1"/>
        <rFont val="Aptos Narrow"/>
        <family val="2"/>
      </rPr>
      <t>².j</t>
    </r>
  </si>
  <si>
    <t>Impact Orientatie</t>
  </si>
  <si>
    <t xml:space="preserve">  basis is Zuid</t>
  </si>
  <si>
    <t>Impact zonwering en glaspercentage</t>
  </si>
  <si>
    <t>Correctie (bekende) zoninstraling</t>
  </si>
  <si>
    <r>
      <t>kWh/m</t>
    </r>
    <r>
      <rPr>
        <sz val="11"/>
        <color theme="1"/>
        <rFont val="Aptos Narrow"/>
        <family val="2"/>
      </rPr>
      <t>².j gevel</t>
    </r>
  </si>
  <si>
    <t>Aanpassing werkelijk bezonning</t>
  </si>
  <si>
    <t>Impact massa</t>
  </si>
  <si>
    <t>basis is beton/staal</t>
  </si>
  <si>
    <t>Dak correctie</t>
  </si>
  <si>
    <t>Ventilatie correctie</t>
  </si>
  <si>
    <r>
      <rPr>
        <sz val="11"/>
        <color theme="1"/>
        <rFont val="Aptos"/>
        <family val="2"/>
      </rPr>
      <t>Δ</t>
    </r>
    <r>
      <rPr>
        <sz val="11"/>
        <color theme="1"/>
        <rFont val="Aptos Narrow"/>
        <family val="2"/>
        <scheme val="minor"/>
      </rPr>
      <t>T.gegevens</t>
    </r>
  </si>
  <si>
    <r>
      <t xml:space="preserve">Facto </t>
    </r>
    <r>
      <rPr>
        <sz val="11"/>
        <color theme="1"/>
        <rFont val="Aptos"/>
        <family val="2"/>
      </rPr>
      <t>Δ</t>
    </r>
    <r>
      <rPr>
        <sz val="11"/>
        <color theme="1"/>
        <rFont val="Aptos Narrow"/>
        <family val="2"/>
      </rPr>
      <t>T</t>
    </r>
  </si>
  <si>
    <t>Factor h_UH</t>
  </si>
  <si>
    <t>dT adjustment</t>
  </si>
  <si>
    <t>Koelingvraag [thermisch]</t>
  </si>
  <si>
    <r>
      <t>kWh/m</t>
    </r>
    <r>
      <rPr>
        <sz val="11"/>
        <color theme="1"/>
        <rFont val="Aptos Narrow"/>
        <family val="2"/>
      </rPr>
      <t>².j</t>
    </r>
  </si>
  <si>
    <t>k</t>
  </si>
  <si>
    <r>
      <t>kWh/m</t>
    </r>
    <r>
      <rPr>
        <sz val="11"/>
        <color theme="1"/>
        <rFont val="Aptos Narrow"/>
        <family val="2"/>
      </rPr>
      <t>².j</t>
    </r>
    <r>
      <rPr>
        <sz val="11"/>
        <color theme="1"/>
        <rFont val="Aptos Narrow"/>
        <family val="2"/>
        <scheme val="minor"/>
      </rPr>
      <t xml:space="preserve"> warmte overschot</t>
    </r>
  </si>
  <si>
    <t>W[average]/m2</t>
  </si>
  <si>
    <t>ΔT koelseizoen</t>
  </si>
  <si>
    <t>t.o.v. Balans temperatuur</t>
  </si>
  <si>
    <t>W[average]</t>
  </si>
  <si>
    <t>Gemidde warmer in huis</t>
  </si>
  <si>
    <t>W/K</t>
  </si>
  <si>
    <t>Gemiddelde temperatuur wizomerseizoen</t>
  </si>
  <si>
    <t>°C above</t>
  </si>
  <si>
    <r>
      <t xml:space="preserve">Maximmale Temperatuur winterseizoen </t>
    </r>
    <r>
      <rPr>
        <sz val="11"/>
        <color theme="1"/>
        <rFont val="Aptos Narrow"/>
        <family val="2"/>
      </rPr>
      <t>±</t>
    </r>
  </si>
  <si>
    <t>Warmte [basis]</t>
  </si>
  <si>
    <t>WTW_factor</t>
  </si>
  <si>
    <t>Debiet_factor</t>
  </si>
  <si>
    <t>Aanpassing ventilatie</t>
  </si>
  <si>
    <t>t.o.v.</t>
  </si>
  <si>
    <r>
      <t>kWh/m</t>
    </r>
    <r>
      <rPr>
        <sz val="11"/>
        <color theme="5" tint="-0.249977111117893"/>
        <rFont val="Aptos Narrow"/>
        <family val="2"/>
      </rPr>
      <t>²</t>
    </r>
    <r>
      <rPr>
        <sz val="11"/>
        <color theme="5" tint="-0.249977111117893"/>
        <rFont val="Aptos Narrow"/>
        <family val="2"/>
        <scheme val="minor"/>
      </rPr>
      <t>.j</t>
    </r>
  </si>
  <si>
    <t>CF infiltratie</t>
  </si>
  <si>
    <t>Aanpassing infiltratie</t>
  </si>
  <si>
    <t>Aanpassing warmtewinst</t>
  </si>
  <si>
    <t>Factor Transmissie</t>
  </si>
  <si>
    <t>dT[bekend]</t>
  </si>
  <si>
    <t>Correctie_massa</t>
  </si>
  <si>
    <t>Aanpassing Transmissie</t>
  </si>
  <si>
    <t>Warmtevraag [thermisch]</t>
  </si>
  <si>
    <t>.</t>
  </si>
  <si>
    <r>
      <t>kWh/m</t>
    </r>
    <r>
      <rPr>
        <sz val="11"/>
        <color theme="1"/>
        <rFont val="Aptos Narrow"/>
        <family val="2"/>
      </rPr>
      <t>².j</t>
    </r>
    <r>
      <rPr>
        <sz val="11"/>
        <color theme="1"/>
        <rFont val="Aptos Narrow"/>
        <family val="2"/>
        <scheme val="minor"/>
      </rPr>
      <t xml:space="preserve"> warmtetekort</t>
    </r>
  </si>
  <si>
    <r>
      <rPr>
        <sz val="11"/>
        <color theme="1"/>
        <rFont val="Aptos"/>
        <family val="2"/>
      </rPr>
      <t>Δ</t>
    </r>
    <r>
      <rPr>
        <sz val="11"/>
        <color theme="1"/>
        <rFont val="Aptos Narrow"/>
        <family val="2"/>
      </rPr>
      <t>T stookseizoen</t>
    </r>
  </si>
  <si>
    <t>Gemiddeld kouder in huis</t>
  </si>
  <si>
    <t>Gemiddelde temperatuur winterseizoen</t>
  </si>
  <si>
    <r>
      <t xml:space="preserve">Minimale Temperatuur winterseizoen </t>
    </r>
    <r>
      <rPr>
        <sz val="11"/>
        <color theme="1"/>
        <rFont val="Aptos Narrow"/>
        <family val="2"/>
      </rPr>
      <t>±</t>
    </r>
  </si>
  <si>
    <t>Apartement type</t>
  </si>
  <si>
    <t>index</t>
  </si>
  <si>
    <t>hand</t>
  </si>
  <si>
    <t>parameter</t>
  </si>
  <si>
    <t>eenzijdig toren</t>
  </si>
  <si>
    <r>
      <t>Avl[m</t>
    </r>
    <r>
      <rPr>
        <b/>
        <sz val="11"/>
        <color rgb="FFFF0000"/>
        <rFont val="Aptos Narrow"/>
        <family val="2"/>
      </rPr>
      <t>²]</t>
    </r>
  </si>
  <si>
    <t>Appartment not on a corner in a tower with closed core</t>
  </si>
  <si>
    <t>open/closed</t>
  </si>
  <si>
    <t>tower/gallery - fi tower corner/no corner</t>
  </si>
  <si>
    <t>tweezijdig toren (kern)</t>
  </si>
  <si>
    <t>Appartment not on a corner in a tower with open core</t>
  </si>
  <si>
    <t>gallerij flat</t>
  </si>
  <si>
    <t>hoek en tweezijdig toren</t>
  </si>
  <si>
    <t>Appartment  on a corner in a tower with open core</t>
  </si>
  <si>
    <t>hoekappartement toren</t>
  </si>
  <si>
    <t>Appartment  on a corner in a tower with closed core</t>
  </si>
  <si>
    <t>index orientatie</t>
  </si>
  <si>
    <t>N</t>
  </si>
  <si>
    <t>NO</t>
  </si>
  <si>
    <t>O</t>
  </si>
  <si>
    <t>ZO</t>
  </si>
  <si>
    <t>Z</t>
  </si>
  <si>
    <t>ZW</t>
  </si>
  <si>
    <t>W</t>
  </si>
  <si>
    <t>NW</t>
  </si>
  <si>
    <t>opmerking:  eenzijdig apartement orientatie is buitengevel</t>
  </si>
  <si>
    <t>opmerking:  tweezijdig tegenoverliggend/gallerij  apartement orientatie is voorgevel, = niet gallerij zijde</t>
  </si>
  <si>
    <t>N-O</t>
  </si>
  <si>
    <t>NO-ZO</t>
  </si>
  <si>
    <t>O-Z</t>
  </si>
  <si>
    <t>ZO-ZW</t>
  </si>
  <si>
    <t>Z-W</t>
  </si>
  <si>
    <t>ZW-NW</t>
  </si>
  <si>
    <t>W-N</t>
  </si>
  <si>
    <t>NW-NO</t>
  </si>
  <si>
    <t>opmerking:  tweezijdig haaks/torenj  apartement orientatie is orientatie van de hoek tussen de 2-voorgevel</t>
  </si>
  <si>
    <t>Gevel oppervlak</t>
  </si>
  <si>
    <t>%glas correctie</t>
  </si>
  <si>
    <r>
      <t>Age[m</t>
    </r>
    <r>
      <rPr>
        <b/>
        <sz val="11"/>
        <color rgb="FFFF0000"/>
        <rFont val="Aptos Narrow"/>
        <family val="2"/>
      </rPr>
      <t>²]</t>
    </r>
  </si>
  <si>
    <r>
      <t>U[W/m</t>
    </r>
    <r>
      <rPr>
        <b/>
        <sz val="11"/>
        <color rgb="FFFF0000"/>
        <rFont val="Aptos Narrow"/>
        <family val="2"/>
      </rPr>
      <t>².K]</t>
    </r>
  </si>
  <si>
    <t>Orientatie &amp; gevel oppervlak</t>
  </si>
  <si>
    <r>
      <t>Agl[m</t>
    </r>
    <r>
      <rPr>
        <b/>
        <sz val="11"/>
        <color rgb="FFFF0000"/>
        <rFont val="Aptos Narrow"/>
        <family val="2"/>
      </rPr>
      <t>²]</t>
    </r>
  </si>
  <si>
    <t>ZTA[-zonw]</t>
  </si>
  <si>
    <t>ZTA[+zonw]</t>
  </si>
  <si>
    <t>Geen dak</t>
  </si>
  <si>
    <t>Zwart</t>
  </si>
  <si>
    <t>Groen</t>
  </si>
  <si>
    <t>Isolatie concepten</t>
  </si>
  <si>
    <t>Ventilatie systeem</t>
  </si>
  <si>
    <t>Uwand</t>
  </si>
  <si>
    <t>Uraam</t>
  </si>
  <si>
    <t>Udak</t>
  </si>
  <si>
    <t>ZTAstd</t>
  </si>
  <si>
    <t>ZTAzonw</t>
  </si>
  <si>
    <t>Aglas</t>
  </si>
  <si>
    <t>Nat. toevoer + mech. Afzuiging</t>
  </si>
  <si>
    <t>Nat toevoer met indirecte ww</t>
  </si>
  <si>
    <t>Passive House</t>
  </si>
  <si>
    <t>Balans met WTW</t>
  </si>
  <si>
    <t>Volledig hout</t>
  </si>
  <si>
    <t>Hyrbide hout-staal</t>
  </si>
  <si>
    <t>Hybride hout-beton</t>
  </si>
  <si>
    <t>Beton + staal</t>
  </si>
  <si>
    <t>Beton</t>
  </si>
  <si>
    <t>verwarming/tapwater</t>
  </si>
  <si>
    <t>Warmtepomp lucht</t>
  </si>
  <si>
    <t>Warmtepomp WKO</t>
  </si>
  <si>
    <t>Stadsverwarming + Koelmachine</t>
  </si>
  <si>
    <t>Stadsverwarming Tapwater + warmtepomp</t>
  </si>
  <si>
    <t>SV + warmtepomp - Tafhankelijk</t>
  </si>
  <si>
    <t>Thermische zonnepanelen</t>
  </si>
  <si>
    <t>Geen</t>
  </si>
  <si>
    <t>PVT</t>
  </si>
  <si>
    <r>
      <t>m</t>
    </r>
    <r>
      <rPr>
        <b/>
        <sz val="11"/>
        <color rgb="FFFF0000"/>
        <rFont val="Aptos Narrow"/>
        <family val="2"/>
      </rPr>
      <t>²/app.</t>
    </r>
  </si>
  <si>
    <t>Standaard</t>
  </si>
  <si>
    <t>Vacuum</t>
  </si>
  <si>
    <t>Douche WTW</t>
  </si>
  <si>
    <t>geen</t>
  </si>
  <si>
    <t>Extern klimaat, lokaal &amp; climate change</t>
  </si>
  <si>
    <t>Gegevens</t>
  </si>
  <si>
    <t>onbekend</t>
  </si>
  <si>
    <t>bekend</t>
  </si>
  <si>
    <t>Energie basis parameters</t>
  </si>
  <si>
    <t>Gebruikers energie</t>
  </si>
  <si>
    <t>kWh/jaar</t>
  </si>
  <si>
    <t>basis per huishouden</t>
  </si>
  <si>
    <t>extra persoon ^,95</t>
  </si>
  <si>
    <t>extra persoon ^,5</t>
  </si>
  <si>
    <t>Warmtapwater [warmtevraag]</t>
  </si>
  <si>
    <t>per persoon ^,95</t>
  </si>
  <si>
    <t>per persoon ^,5</t>
  </si>
  <si>
    <t>Tabel kWh[e] en GJ[sv]</t>
  </si>
  <si>
    <t>equivalente COP stadsverwarming</t>
  </si>
  <si>
    <t>sv</t>
  </si>
  <si>
    <t>COP[tw]</t>
  </si>
  <si>
    <t>COP[w]</t>
  </si>
  <si>
    <t>COP[k]</t>
  </si>
  <si>
    <t>% SV</t>
  </si>
  <si>
    <t>TW</t>
  </si>
  <si>
    <t>COP tw,w,k</t>
  </si>
  <si>
    <t>Zonthermische panelen</t>
  </si>
  <si>
    <r>
      <t>kWh/m</t>
    </r>
    <r>
      <rPr>
        <sz val="11"/>
        <color theme="1"/>
        <rFont val="Aptos Narrow"/>
        <family val="2"/>
      </rPr>
      <t>² reductie</t>
    </r>
  </si>
  <si>
    <t>reductie</t>
  </si>
  <si>
    <t>Ventilator energie</t>
  </si>
  <si>
    <t>Systeem</t>
  </si>
  <si>
    <t>min</t>
  </si>
  <si>
    <t>max</t>
  </si>
  <si>
    <t>η[wtw]</t>
  </si>
  <si>
    <t>Coeffcient max draai uren - type</t>
  </si>
  <si>
    <t>zon</t>
  </si>
  <si>
    <t>spui</t>
  </si>
  <si>
    <t>Factor glas m2/vler m2 x ZTA</t>
  </si>
  <si>
    <t>standaard</t>
  </si>
  <si>
    <t>factor tot de macht</t>
  </si>
  <si>
    <t>% glas in gevel - G/V = 0,5; ZTA = 0,3</t>
  </si>
  <si>
    <t>% glas in gevel - G/V = 0,5; ZTA = 0,1</t>
  </si>
  <si>
    <t>Correctiefactor max uren door zon</t>
  </si>
  <si>
    <t>Uren berekening</t>
  </si>
  <si>
    <t xml:space="preserve">  max werkelijk = max. basis + max. basis x ( coef zon - 1) x glas factor +(coef spui - 1)</t>
  </si>
  <si>
    <t>gemiddeld = gebruikstijd - max</t>
  </si>
  <si>
    <t>min = 24 uur - max - gemiddeld</t>
  </si>
  <si>
    <t>Verlichtings energie</t>
  </si>
  <si>
    <t>#C_L_1</t>
  </si>
  <si>
    <t>Standaard verlichting</t>
  </si>
  <si>
    <r>
      <t>kWh/m</t>
    </r>
    <r>
      <rPr>
        <sz val="11"/>
        <color theme="1"/>
        <rFont val="Aptos Narrow"/>
        <family val="2"/>
      </rPr>
      <t>²</t>
    </r>
  </si>
  <si>
    <t>#C_L_2</t>
  </si>
  <si>
    <r>
      <t>kWh/m</t>
    </r>
    <r>
      <rPr>
        <sz val="11"/>
        <color theme="1"/>
        <rFont val="Aptos Narrow"/>
        <family val="2"/>
      </rPr>
      <t>² voor toename A -&gt; (50/A)^,25/</t>
    </r>
  </si>
  <si>
    <t>#C_L_3</t>
  </si>
  <si>
    <t>kWh/m2 extra per extra bewoner (basis = 1 bewoner)</t>
  </si>
  <si>
    <t>#C_L_4</t>
  </si>
  <si>
    <t>Coefficient glas/ vloeropp</t>
  </si>
  <si>
    <t>basis coef</t>
  </si>
  <si>
    <t>#C_L_5</t>
  </si>
  <si>
    <t>Glas/Vloer</t>
  </si>
  <si>
    <t>Correctiefactor gebruiksuren</t>
  </si>
  <si>
    <t>Vormfactor + verlichting kern</t>
  </si>
  <si>
    <t>Benaderde DF</t>
  </si>
  <si>
    <t>GlasxLTA/vl</t>
  </si>
  <si>
    <t>Aanpassing berekende DF</t>
  </si>
  <si>
    <t>DF[basis]</t>
  </si>
  <si>
    <t>Percentage inpact</t>
  </si>
  <si>
    <t>denominator is base appartmen (85m2 one sided)</t>
  </si>
  <si>
    <t>Effectiviteit daglicht</t>
  </si>
  <si>
    <t>Treshold</t>
  </si>
  <si>
    <t>Impact DF</t>
  </si>
  <si>
    <t>F[daglicht.dag]</t>
  </si>
  <si>
    <t>Koel_tabel</t>
  </si>
  <si>
    <t>Gebaseerd op</t>
  </si>
  <si>
    <t>Koel energie [thermisch]</t>
  </si>
  <si>
    <t>Basis waarde</t>
  </si>
  <si>
    <t>Gevel/Vloer</t>
  </si>
  <si>
    <t>Glas %</t>
  </si>
  <si>
    <t>ZTA[zon]</t>
  </si>
  <si>
    <t>Qzo</t>
  </si>
  <si>
    <t>Qz1</t>
  </si>
  <si>
    <t>K_basis</t>
  </si>
  <si>
    <t>gevel</t>
  </si>
  <si>
    <t>hoek</t>
  </si>
  <si>
    <t>energie = energie basis x (Qz1/Qz0)^factor x coef</t>
  </si>
  <si>
    <t>Cf_k1</t>
  </si>
  <si>
    <t>Coef.</t>
  </si>
  <si>
    <t>F_k1</t>
  </si>
  <si>
    <t>Factor</t>
  </si>
  <si>
    <r>
      <t xml:space="preserve">Qz1 = </t>
    </r>
    <r>
      <rPr>
        <sz val="11"/>
        <color rgb="FF0070C0"/>
        <rFont val="Aptos Narrow"/>
        <family val="2"/>
        <scheme val="minor"/>
      </rPr>
      <t>Aglas x ZTA_Z / Avl</t>
    </r>
  </si>
  <si>
    <t>Qzo [ afhankelijk typpe]</t>
  </si>
  <si>
    <t>Cfk</t>
  </si>
  <si>
    <t>Qzo,z1, Cf_k1,F_k1</t>
  </si>
  <si>
    <t>Correctie factor Koeling</t>
  </si>
  <si>
    <t>Basiswaarde</t>
  </si>
  <si>
    <t>C_orientatie</t>
  </si>
  <si>
    <t>#Type,#Orient</t>
  </si>
  <si>
    <t>C_Orientatie</t>
  </si>
  <si>
    <t>Impact massa op benodigde koeling/verwarming</t>
  </si>
  <si>
    <t>massa</t>
  </si>
  <si>
    <t>F_K</t>
  </si>
  <si>
    <t>T_W</t>
  </si>
  <si>
    <t>massa_K</t>
  </si>
  <si>
    <t>Dakfactor - Fdak</t>
  </si>
  <si>
    <t>Koude</t>
  </si>
  <si>
    <t>Warmte</t>
  </si>
  <si>
    <t>Dak_Uw</t>
  </si>
  <si>
    <t>Dak_Kc</t>
  </si>
  <si>
    <t>zwart</t>
  </si>
  <si>
    <t>groen</t>
  </si>
  <si>
    <t>Ventilatie Ffan</t>
  </si>
  <si>
    <t>Hoeveelheid koeling t.g.v. zon</t>
  </si>
  <si>
    <t>Hoeveelheid koeling t.g.v. temperatuur</t>
  </si>
  <si>
    <t>Koeling afh. Werkelijk Tbuiten</t>
  </si>
  <si>
    <t>Tgem</t>
  </si>
  <si>
    <r>
      <rPr>
        <sz val="11"/>
        <color theme="1"/>
        <rFont val="Aptos"/>
        <family val="2"/>
      </rPr>
      <t>Δ</t>
    </r>
    <r>
      <rPr>
        <sz val="11"/>
        <color theme="1"/>
        <rFont val="Aptos Narrow"/>
        <family val="2"/>
      </rPr>
      <t>hx(T-20)</t>
    </r>
  </si>
  <si>
    <t>dT.gem</t>
  </si>
  <si>
    <r>
      <rPr>
        <sz val="11"/>
        <color theme="1"/>
        <rFont val="Aptos"/>
        <family val="2"/>
      </rPr>
      <t xml:space="preserve">Δ </t>
    </r>
    <r>
      <rPr>
        <sz val="11"/>
        <color theme="1"/>
        <rFont val="Aptos Narrow"/>
        <family val="2"/>
      </rPr>
      <t xml:space="preserve">per °C </t>
    </r>
  </si>
  <si>
    <t>%</t>
  </si>
  <si>
    <t>Klimaatjaar</t>
  </si>
  <si>
    <t>Nu</t>
  </si>
  <si>
    <t>Dus : E[koel] = E[koel].basis x { C[orientatie.type] of  C[zon.f] } x Qzo/Qz1^F x C    x  Fmassa   x   Fdak  x (1-Ffan) x f{Uhxh] {indien bekend}</t>
  </si>
  <si>
    <t>Verwarmingsenergie [thermisch]</t>
  </si>
  <si>
    <t>Basiswarde</t>
  </si>
  <si>
    <t>Impact massa op benodigdeverwarming</t>
  </si>
  <si>
    <t>factor</t>
  </si>
  <si>
    <t>Demography NL</t>
  </si>
  <si>
    <t>categorien</t>
  </si>
  <si>
    <t>/hh</t>
  </si>
  <si>
    <t xml:space="preserve">   20 - 30</t>
  </si>
  <si>
    <t xml:space="preserve">  30 - 55</t>
  </si>
  <si>
    <t xml:space="preserve">  &gt; 55</t>
  </si>
  <si>
    <t>van</t>
  </si>
  <si>
    <t>tot</t>
  </si>
  <si>
    <t>x 1000</t>
  </si>
  <si>
    <t>#1</t>
  </si>
  <si>
    <t>uur/dag p.p.</t>
  </si>
  <si>
    <t>per persoon</t>
  </si>
  <si>
    <t>slaap</t>
  </si>
  <si>
    <t>non-slaap</t>
  </si>
  <si>
    <t>gelijktijdig non-slaap</t>
  </si>
  <si>
    <t>gebruiksuren</t>
  </si>
  <si>
    <t>#2</t>
  </si>
  <si>
    <t>gemiddelde bezetting</t>
  </si>
  <si>
    <t>#3</t>
  </si>
  <si>
    <t xml:space="preserve">  gemiddelde grootte huishoudens </t>
  </si>
  <si>
    <t>aantal huishoudens</t>
  </si>
  <si>
    <t>aantal mensen</t>
  </si>
  <si>
    <t>Apartement grootte</t>
  </si>
  <si>
    <t>Demography</t>
  </si>
  <si>
    <t>&gt; 55</t>
  </si>
  <si>
    <t>30-55</t>
  </si>
  <si>
    <t>20-30</t>
  </si>
  <si>
    <t>#B1</t>
  </si>
  <si>
    <t>Aantal bewoners</t>
  </si>
  <si>
    <t>#B2</t>
  </si>
  <si>
    <t>Gemiddelde bezetting</t>
  </si>
  <si>
    <t>#B3</t>
  </si>
  <si>
    <t>keuken</t>
  </si>
  <si>
    <t>badkamer</t>
  </si>
  <si>
    <t>toilet</t>
  </si>
  <si>
    <t>#4</t>
  </si>
  <si>
    <t>vloer</t>
  </si>
  <si>
    <t>l/s.m²</t>
  </si>
  <si>
    <t>#5</t>
  </si>
  <si>
    <t>minimaal debiet</t>
  </si>
  <si>
    <t>#6</t>
  </si>
  <si>
    <t>Ventilatie_tabel</t>
  </si>
  <si>
    <t>#4,#6</t>
  </si>
  <si>
    <t>minimaal debiet [l/s]</t>
  </si>
  <si>
    <t>gemiddeld [l/s]</t>
  </si>
  <si>
    <t>#4, #5</t>
  </si>
  <si>
    <t>maximum l/s]</t>
  </si>
  <si>
    <t>Gebruikstijd/dag/basis</t>
  </si>
  <si>
    <t>minimum [uur/dag]</t>
  </si>
  <si>
    <t>gemiddeld [uur/dag]</t>
  </si>
  <si>
    <t>maximum [uur/dag]</t>
  </si>
  <si>
    <t>#V1</t>
  </si>
  <si>
    <t>Intern</t>
  </si>
  <si>
    <t>Gemiddeldedebiet [l/s]</t>
  </si>
  <si>
    <t>#V2</t>
  </si>
  <si>
    <r>
      <t xml:space="preserve">Gemiddeld </t>
    </r>
    <r>
      <rPr>
        <sz val="11"/>
        <color theme="1"/>
        <rFont val="Aptos"/>
        <family val="2"/>
      </rPr>
      <t>Δ</t>
    </r>
    <r>
      <rPr>
        <sz val="11"/>
        <color theme="1"/>
        <rFont val="Aptos Narrow"/>
        <family val="2"/>
      </rPr>
      <t>P[min]-[max]</t>
    </r>
  </si>
  <si>
    <t>Licht_m2</t>
  </si>
  <si>
    <t>#L1</t>
  </si>
  <si>
    <t>#C_L 1,2,4</t>
  </si>
  <si>
    <r>
      <t>gebruik [kWh/m</t>
    </r>
    <r>
      <rPr>
        <sz val="11"/>
        <color theme="1"/>
        <rFont val="Aptos Narrow"/>
        <family val="2"/>
      </rPr>
      <t>²]</t>
    </r>
  </si>
  <si>
    <t>Koelenergie - orientatie</t>
  </si>
  <si>
    <t>Koel_orientatie</t>
  </si>
  <si>
    <t xml:space="preserve">Warmtevraag </t>
  </si>
  <si>
    <t>#W_1</t>
  </si>
  <si>
    <t>Basis</t>
  </si>
  <si>
    <t>referentie</t>
  </si>
  <si>
    <t>50-60</t>
  </si>
  <si>
    <t>kWh/m2</t>
  </si>
  <si>
    <t>#W_2</t>
  </si>
  <si>
    <t>#T_1,2,3</t>
  </si>
  <si>
    <t>Tranmsisie</t>
  </si>
  <si>
    <t>#W_3</t>
  </si>
  <si>
    <t>#I1</t>
  </si>
  <si>
    <t>Infiltratie</t>
  </si>
  <si>
    <t>#W_4</t>
  </si>
  <si>
    <t>#W_5</t>
  </si>
  <si>
    <t>#W_6</t>
  </si>
  <si>
    <t>Aftrek warmtewinst</t>
  </si>
  <si>
    <t>Uitgangspunt</t>
  </si>
  <si>
    <t>ratio/vloer</t>
  </si>
  <si>
    <r>
      <rPr>
        <sz val="11"/>
        <color theme="1"/>
        <rFont val="Aptos"/>
        <family val="2"/>
      </rPr>
      <t>Δ</t>
    </r>
    <r>
      <rPr>
        <sz val="11"/>
        <color theme="1"/>
        <rFont val="Aptos Narrow"/>
        <family val="2"/>
      </rPr>
      <t>T.gem</t>
    </r>
  </si>
  <si>
    <t>#T1</t>
  </si>
  <si>
    <t>standaard U-waarde gevel</t>
  </si>
  <si>
    <r>
      <t>W/m</t>
    </r>
    <r>
      <rPr>
        <sz val="11"/>
        <color theme="1"/>
        <rFont val="Aptos Narrow"/>
        <family val="2"/>
      </rPr>
      <t>².K</t>
    </r>
  </si>
  <si>
    <t>factor transmissie</t>
  </si>
  <si>
    <r>
      <t>W/K.m</t>
    </r>
    <r>
      <rPr>
        <sz val="11"/>
        <color theme="1"/>
        <rFont val="Aptos Narrow"/>
        <family val="2"/>
      </rPr>
      <t>²_vloer oppervlak</t>
    </r>
  </si>
  <si>
    <t>#T2</t>
  </si>
  <si>
    <t>standaard U-waarde dak</t>
  </si>
  <si>
    <t>#T3</t>
  </si>
  <si>
    <t>standaard U-waarde glas</t>
  </si>
  <si>
    <t>infiltratie, open raam/deur</t>
  </si>
  <si>
    <r>
      <t>l/s.m</t>
    </r>
    <r>
      <rPr>
        <sz val="11"/>
        <color theme="1"/>
        <rFont val="Aptos Narrow"/>
        <family val="2"/>
      </rPr>
      <t>²gem</t>
    </r>
  </si>
  <si>
    <t>voudig gemiddeld</t>
  </si>
  <si>
    <t xml:space="preserve">Ventilatie debiet winterseizoen </t>
  </si>
  <si>
    <r>
      <t>W/m</t>
    </r>
    <r>
      <rPr>
        <sz val="11"/>
        <color theme="1"/>
        <rFont val="Aptos Narrow"/>
        <family val="2"/>
      </rPr>
      <t>²</t>
    </r>
  </si>
  <si>
    <r>
      <t>l/s.m</t>
    </r>
    <r>
      <rPr>
        <sz val="11"/>
        <color theme="1"/>
        <rFont val="Aptos Narrow"/>
        <family val="2"/>
      </rPr>
      <t>²</t>
    </r>
  </si>
  <si>
    <t>Interne warmtelast winterseizoen</t>
  </si>
  <si>
    <t>Red_WL</t>
  </si>
  <si>
    <t>Effectiviteit warmte last</t>
  </si>
  <si>
    <r>
      <t>kWh/m</t>
    </r>
    <r>
      <rPr>
        <sz val="11"/>
        <color theme="1"/>
        <rFont val="Aptos Narrow"/>
        <family val="2"/>
      </rPr>
      <t>².winter</t>
    </r>
  </si>
  <si>
    <t>Personen</t>
  </si>
  <si>
    <t>gem pers</t>
  </si>
  <si>
    <t>uur/dag</t>
  </si>
  <si>
    <t>Apparatuur</t>
  </si>
  <si>
    <t>% media</t>
  </si>
  <si>
    <t>% was</t>
  </si>
  <si>
    <t>Extern</t>
  </si>
  <si>
    <t>m2 glas.eff/m2 vloer</t>
  </si>
  <si>
    <t>Reductie infiltratie bij natuurlijke toevoer</t>
  </si>
  <si>
    <t>Red_inf</t>
  </si>
  <si>
    <t>Effectivteit in-/externe warmtelast</t>
  </si>
  <si>
    <t>Red_Wl</t>
  </si>
  <si>
    <t>Reductie Transmissie</t>
  </si>
  <si>
    <t>Red_Tr</t>
  </si>
  <si>
    <r>
      <t xml:space="preserve">Reductie </t>
    </r>
    <r>
      <rPr>
        <sz val="11"/>
        <color theme="1"/>
        <rFont val="Aptos"/>
        <family val="2"/>
      </rPr>
      <t>Δ</t>
    </r>
    <r>
      <rPr>
        <sz val="11"/>
        <color theme="1"/>
        <rFont val="Aptos Narrow"/>
        <family val="2"/>
        <scheme val="minor"/>
      </rPr>
      <t>T</t>
    </r>
  </si>
  <si>
    <t>dT_W</t>
  </si>
  <si>
    <t>Red_dT</t>
  </si>
  <si>
    <t>Bekend</t>
  </si>
  <si>
    <t>macht factor</t>
  </si>
  <si>
    <t>dT_Loc</t>
  </si>
  <si>
    <t>dT_CC</t>
  </si>
  <si>
    <t>dT_UHI</t>
  </si>
  <si>
    <t>Parameter Name in Excel</t>
  </si>
  <si>
    <t>Parameter Name in Speckle</t>
  </si>
  <si>
    <t>Used by grasshopper (y/n)</t>
  </si>
  <si>
    <t>Used by Excel Currently (y/n)</t>
  </si>
  <si>
    <t>Available on Speckle unit Model (y/n)</t>
  </si>
  <si>
    <t>topology, access_type</t>
  </si>
  <si>
    <t>y</t>
  </si>
  <si>
    <t>orientation</t>
  </si>
  <si>
    <t>BVO_woning</t>
  </si>
  <si>
    <t>exterior_facade_area_m2</t>
  </si>
  <si>
    <t>n</t>
  </si>
  <si>
    <t>by excell not Grasshopper</t>
  </si>
  <si>
    <t>plan_z</t>
  </si>
  <si>
    <t>N/A Standard value available for use, to be updated by Jaap</t>
  </si>
  <si>
    <t>N/A  depends on Dinos Script</t>
  </si>
  <si>
    <t>Urban Heat Island Tgem</t>
  </si>
  <si>
    <t>Urban Heat Island Tgem.zomer</t>
  </si>
  <si>
    <t>Urban Heat Island Tgem.winter</t>
  </si>
  <si>
    <t>Bezonning gevel Ezon.zomer</t>
  </si>
  <si>
    <t>Bezonning gevel Ezon.winter</t>
  </si>
  <si>
    <t>N/A   Standard value available for use, to be updated by Yara</t>
  </si>
  <si>
    <t xml:space="preserve">N/A  to be filled in on excel. Same values apply to all buildings </t>
  </si>
  <si>
    <t xml:space="preserve">N/A </t>
  </si>
  <si>
    <t>applied based on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</si>
</sst>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_ ;\-#,##0\ "/>
    <numFmt numFmtId="165" formatCode="0.0"/>
    <numFmt numFmtId="166" formatCode="0.000"/>
    <numFmt numFmtId="167" formatCode="#,##0.0"/>
    <numFmt numFmtId="168" formatCode="#,##0.00_ ;\-#,##0.00\ "/>
    <numFmt numFmtId="169" formatCode="0.0%"/>
    <numFmt numFmtId="170" formatCode="#,##0.000"/>
    <numFmt numFmtId="171" formatCode="0.00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Poppins"/>
    </font>
    <font>
      <sz val="11"/>
      <color theme="1"/>
      <name val="Aptos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b/>
      <sz val="11"/>
      <color rgb="FF7030A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0070C0"/>
      <name val="Aptos Narrow"/>
      <family val="2"/>
    </font>
    <font>
      <sz val="1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</font>
    <font>
      <sz val="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10" fontId="0" fillId="0" borderId="0" xfId="0" applyNumberFormat="1"/>
    <xf numFmtId="164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5" xfId="0" applyNumberFormat="1" applyBorder="1"/>
    <xf numFmtId="16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165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1" applyFont="1" applyAlignment="1">
      <alignment horizontal="left"/>
    </xf>
    <xf numFmtId="0" fontId="3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9" xfId="0" applyBorder="1"/>
    <xf numFmtId="0" fontId="10" fillId="2" borderId="0" xfId="0" applyFont="1" applyFill="1"/>
    <xf numFmtId="0" fontId="0" fillId="2" borderId="0" xfId="0" applyFill="1"/>
    <xf numFmtId="3" fontId="0" fillId="2" borderId="0" xfId="0" applyNumberForma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right"/>
    </xf>
    <xf numFmtId="3" fontId="7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3" fontId="7" fillId="2" borderId="0" xfId="0" applyNumberFormat="1" applyFont="1" applyFill="1"/>
    <xf numFmtId="0" fontId="10" fillId="2" borderId="0" xfId="0" applyFont="1" applyFill="1" applyAlignment="1">
      <alignment horizontal="left"/>
    </xf>
    <xf numFmtId="1" fontId="7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center"/>
    </xf>
    <xf numFmtId="3" fontId="0" fillId="3" borderId="0" xfId="0" applyNumberFormat="1" applyFill="1"/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9" fontId="0" fillId="3" borderId="0" xfId="1" applyFont="1" applyFill="1" applyAlignment="1">
      <alignment horizontal="center"/>
    </xf>
    <xf numFmtId="0" fontId="3" fillId="3" borderId="0" xfId="0" applyFont="1" applyFill="1"/>
    <xf numFmtId="0" fontId="7" fillId="3" borderId="0" xfId="0" applyFont="1" applyFill="1" applyAlignment="1">
      <alignment horizontal="right"/>
    </xf>
    <xf numFmtId="2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10" fontId="0" fillId="0" borderId="0" xfId="1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2" fillId="0" borderId="0" xfId="0" applyFont="1"/>
    <xf numFmtId="0" fontId="13" fillId="0" borderId="0" xfId="0" applyFont="1"/>
    <xf numFmtId="0" fontId="16" fillId="0" borderId="0" xfId="0" applyFont="1"/>
    <xf numFmtId="9" fontId="16" fillId="0" borderId="0" xfId="1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horizontal="center" vertical="top" wrapText="1"/>
    </xf>
    <xf numFmtId="0" fontId="0" fillId="4" borderId="1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16" xfId="0" applyFill="1" applyBorder="1" applyAlignment="1">
      <alignment horizontal="center" vertical="center"/>
    </xf>
    <xf numFmtId="0" fontId="0" fillId="0" borderId="11" xfId="0" applyBorder="1"/>
    <xf numFmtId="0" fontId="0" fillId="5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4" borderId="20" xfId="0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4" borderId="23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0" fillId="0" borderId="10" xfId="0" applyBorder="1" applyAlignment="1">
      <alignment horizontal="left" vertical="top" wrapText="1"/>
    </xf>
    <xf numFmtId="10" fontId="12" fillId="0" borderId="0" xfId="1" applyNumberFormat="1" applyFont="1" applyAlignment="1">
      <alignment horizontal="center"/>
    </xf>
    <xf numFmtId="1" fontId="7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7" borderId="0" xfId="0" applyFill="1"/>
    <xf numFmtId="0" fontId="0" fillId="7" borderId="5" xfId="0" applyFill="1" applyBorder="1"/>
    <xf numFmtId="0" fontId="7" fillId="7" borderId="25" xfId="0" applyFont="1" applyFill="1" applyBorder="1"/>
    <xf numFmtId="0" fontId="7" fillId="7" borderId="26" xfId="0" applyFont="1" applyFill="1" applyBorder="1"/>
    <xf numFmtId="0" fontId="7" fillId="7" borderId="27" xfId="0" applyFont="1" applyFill="1" applyBorder="1"/>
    <xf numFmtId="0" fontId="0" fillId="0" borderId="24" xfId="0" applyBorder="1"/>
    <xf numFmtId="165" fontId="4" fillId="4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2" xfId="0" quotePrefix="1" applyBorder="1" applyAlignment="1">
      <alignment horizontal="center"/>
    </xf>
    <xf numFmtId="9" fontId="2" fillId="7" borderId="0" xfId="1" applyFont="1" applyFill="1" applyBorder="1" applyAlignment="1">
      <alignment horizontal="center"/>
    </xf>
    <xf numFmtId="9" fontId="2" fillId="7" borderId="5" xfId="1" applyFont="1" applyFill="1" applyBorder="1" applyAlignment="1">
      <alignment horizontal="center"/>
    </xf>
    <xf numFmtId="2" fontId="8" fillId="7" borderId="0" xfId="0" applyNumberFormat="1" applyFont="1" applyFill="1" applyAlignment="1">
      <alignment horizontal="center"/>
    </xf>
    <xf numFmtId="2" fontId="8" fillId="7" borderId="5" xfId="0" applyNumberFormat="1" applyFont="1" applyFill="1" applyBorder="1" applyAlignment="1">
      <alignment horizontal="center"/>
    </xf>
    <xf numFmtId="165" fontId="8" fillId="7" borderId="7" xfId="0" applyNumberFormat="1" applyFont="1" applyFill="1" applyBorder="1" applyAlignment="1">
      <alignment horizontal="center"/>
    </xf>
    <xf numFmtId="165" fontId="8" fillId="7" borderId="8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right"/>
    </xf>
    <xf numFmtId="0" fontId="7" fillId="0" borderId="25" xfId="0" applyFont="1" applyBorder="1"/>
    <xf numFmtId="0" fontId="0" fillId="0" borderId="26" xfId="0" applyBorder="1"/>
    <xf numFmtId="0" fontId="0" fillId="0" borderId="27" xfId="0" applyBorder="1"/>
    <xf numFmtId="165" fontId="8" fillId="4" borderId="7" xfId="0" applyNumberFormat="1" applyFont="1" applyFill="1" applyBorder="1" applyAlignment="1">
      <alignment horizontal="center"/>
    </xf>
    <xf numFmtId="0" fontId="0" fillId="8" borderId="1" xfId="0" applyFill="1" applyBorder="1"/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4" xfId="0" applyFill="1" applyBorder="1" applyAlignment="1">
      <alignment horizontal="right"/>
    </xf>
    <xf numFmtId="1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65" fontId="2" fillId="8" borderId="7" xfId="0" applyNumberFormat="1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165" fontId="0" fillId="3" borderId="25" xfId="0" applyNumberFormat="1" applyFill="1" applyBorder="1" applyAlignment="1">
      <alignment horizontal="left"/>
    </xf>
    <xf numFmtId="0" fontId="0" fillId="3" borderId="26" xfId="0" applyFill="1" applyBorder="1" applyAlignment="1">
      <alignment horizontal="center"/>
    </xf>
    <xf numFmtId="0" fontId="0" fillId="3" borderId="26" xfId="0" applyFill="1" applyBorder="1"/>
    <xf numFmtId="0" fontId="0" fillId="3" borderId="27" xfId="0" applyFill="1" applyBorder="1"/>
    <xf numFmtId="0" fontId="0" fillId="3" borderId="5" xfId="0" applyFill="1" applyBorder="1"/>
    <xf numFmtId="0" fontId="0" fillId="0" borderId="4" xfId="0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165" fontId="8" fillId="3" borderId="0" xfId="0" applyNumberFormat="1" applyFont="1" applyFill="1" applyAlignment="1">
      <alignment horizontal="center"/>
    </xf>
    <xf numFmtId="165" fontId="8" fillId="3" borderId="5" xfId="0" applyNumberFormat="1" applyFont="1" applyFill="1" applyBorder="1" applyAlignment="1">
      <alignment horizontal="center"/>
    </xf>
    <xf numFmtId="0" fontId="8" fillId="3" borderId="0" xfId="0" applyFont="1" applyFill="1"/>
    <xf numFmtId="0" fontId="8" fillId="3" borderId="5" xfId="0" applyFont="1" applyFill="1" applyBorder="1"/>
    <xf numFmtId="9" fontId="8" fillId="3" borderId="7" xfId="1" applyFont="1" applyFill="1" applyBorder="1" applyAlignment="1">
      <alignment horizontal="center"/>
    </xf>
    <xf numFmtId="9" fontId="8" fillId="3" borderId="8" xfId="1" applyFont="1" applyFill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5" fontId="8" fillId="3" borderId="6" xfId="0" applyNumberFormat="1" applyFont="1" applyFill="1" applyBorder="1" applyAlignment="1">
      <alignment horizontal="center"/>
    </xf>
    <xf numFmtId="165" fontId="8" fillId="3" borderId="7" xfId="0" applyNumberFormat="1" applyFont="1" applyFill="1" applyBorder="1" applyAlignment="1">
      <alignment horizontal="center"/>
    </xf>
    <xf numFmtId="165" fontId="8" fillId="3" borderId="8" xfId="0" applyNumberFormat="1" applyFont="1" applyFill="1" applyBorder="1" applyAlignment="1">
      <alignment horizontal="center"/>
    </xf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horizontal="right"/>
    </xf>
    <xf numFmtId="0" fontId="0" fillId="3" borderId="9" xfId="0" applyFill="1" applyBorder="1" applyAlignment="1">
      <alignment horizontal="right"/>
    </xf>
    <xf numFmtId="9" fontId="2" fillId="3" borderId="0" xfId="1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9" fontId="2" fillId="3" borderId="9" xfId="1" applyFont="1" applyFill="1" applyBorder="1" applyAlignment="1">
      <alignment horizontal="center"/>
    </xf>
    <xf numFmtId="9" fontId="2" fillId="3" borderId="9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0" fontId="0" fillId="0" borderId="0" xfId="0" quotePrefix="1" applyAlignment="1">
      <alignment horizontal="center"/>
    </xf>
    <xf numFmtId="0" fontId="2" fillId="4" borderId="0" xfId="0" applyFont="1" applyFill="1" applyAlignment="1">
      <alignment horizontal="center"/>
    </xf>
    <xf numFmtId="9" fontId="2" fillId="4" borderId="0" xfId="1" applyFont="1" applyFill="1" applyAlignment="1">
      <alignment horizontal="center"/>
    </xf>
    <xf numFmtId="0" fontId="10" fillId="0" borderId="25" xfId="0" applyFont="1" applyBorder="1" applyAlignment="1">
      <alignment horizontal="center"/>
    </xf>
    <xf numFmtId="9" fontId="8" fillId="0" borderId="0" xfId="1" applyFont="1" applyAlignment="1">
      <alignment horizontal="center"/>
    </xf>
    <xf numFmtId="165" fontId="8" fillId="0" borderId="9" xfId="0" applyNumberFormat="1" applyFont="1" applyBorder="1" applyAlignment="1">
      <alignment horizontal="center"/>
    </xf>
    <xf numFmtId="3" fontId="8" fillId="0" borderId="0" xfId="0" applyNumberFormat="1" applyFont="1" applyAlignment="1">
      <alignment horizontal="center"/>
    </xf>
    <xf numFmtId="2" fontId="0" fillId="0" borderId="0" xfId="0" applyNumberFormat="1"/>
    <xf numFmtId="2" fontId="8" fillId="0" borderId="0" xfId="0" applyNumberFormat="1" applyFont="1" applyAlignment="1">
      <alignment horizontal="center"/>
    </xf>
    <xf numFmtId="169" fontId="0" fillId="0" borderId="0" xfId="1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9" fontId="8" fillId="0" borderId="0" xfId="1" applyNumberFormat="1" applyFont="1" applyAlignment="1">
      <alignment horizontal="center"/>
    </xf>
    <xf numFmtId="10" fontId="2" fillId="0" borderId="0" xfId="1" applyNumberFormat="1" applyFont="1" applyAlignment="1">
      <alignment horizontal="center"/>
    </xf>
    <xf numFmtId="9" fontId="2" fillId="0" borderId="0" xfId="1" applyFont="1" applyAlignment="1">
      <alignment horizontal="center"/>
    </xf>
    <xf numFmtId="10" fontId="0" fillId="4" borderId="0" xfId="1" applyNumberFormat="1" applyFont="1" applyFill="1" applyAlignment="1">
      <alignment horizontal="center"/>
    </xf>
    <xf numFmtId="10" fontId="0" fillId="4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168" fontId="8" fillId="0" borderId="0" xfId="2" applyNumberFormat="1" applyFont="1" applyAlignment="1">
      <alignment horizontal="center"/>
    </xf>
    <xf numFmtId="0" fontId="8" fillId="0" borderId="0" xfId="0" applyFont="1"/>
    <xf numFmtId="0" fontId="19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2" fontId="8" fillId="0" borderId="0" xfId="0" applyNumberFormat="1" applyFont="1"/>
    <xf numFmtId="3" fontId="2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9" fontId="0" fillId="4" borderId="0" xfId="1" applyFont="1" applyFill="1" applyAlignment="1">
      <alignment horizontal="center"/>
    </xf>
    <xf numFmtId="9" fontId="0" fillId="4" borderId="0" xfId="1" applyFont="1" applyFill="1" applyAlignment="1">
      <alignment horizontal="right"/>
    </xf>
    <xf numFmtId="2" fontId="2" fillId="4" borderId="0" xfId="0" applyNumberFormat="1" applyFont="1" applyFill="1" applyAlignment="1">
      <alignment horizontal="center"/>
    </xf>
    <xf numFmtId="166" fontId="14" fillId="4" borderId="0" xfId="0" applyNumberFormat="1" applyFont="1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 applyAlignment="1">
      <alignment horizontal="left"/>
    </xf>
    <xf numFmtId="9" fontId="7" fillId="3" borderId="0" xfId="1" applyFont="1" applyFill="1" applyAlignment="1">
      <alignment horizontal="center"/>
    </xf>
    <xf numFmtId="9" fontId="0" fillId="0" borderId="0" xfId="1" applyFont="1"/>
    <xf numFmtId="165" fontId="7" fillId="6" borderId="0" xfId="0" applyNumberFormat="1" applyFont="1" applyFill="1" applyAlignment="1">
      <alignment horizontal="center"/>
    </xf>
    <xf numFmtId="165" fontId="21" fillId="3" borderId="0" xfId="0" applyNumberFormat="1" applyFont="1" applyFill="1" applyAlignment="1">
      <alignment horizontal="center"/>
    </xf>
    <xf numFmtId="0" fontId="21" fillId="3" borderId="0" xfId="0" applyFont="1" applyFill="1" applyAlignment="1">
      <alignment horizontal="left"/>
    </xf>
    <xf numFmtId="0" fontId="21" fillId="3" borderId="0" xfId="0" applyFont="1" applyFill="1" applyAlignment="1">
      <alignment horizontal="right"/>
    </xf>
    <xf numFmtId="165" fontId="7" fillId="4" borderId="0" xfId="0" applyNumberFormat="1" applyFont="1" applyFill="1" applyAlignment="1">
      <alignment horizontal="center"/>
    </xf>
    <xf numFmtId="1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0" fontId="7" fillId="4" borderId="0" xfId="1" applyNumberFormat="1" applyFont="1" applyFill="1" applyAlignment="1">
      <alignment horizontal="center"/>
    </xf>
    <xf numFmtId="0" fontId="5" fillId="0" borderId="0" xfId="0" applyFont="1"/>
    <xf numFmtId="0" fontId="20" fillId="0" borderId="0" xfId="0" applyFont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4" fontId="0" fillId="0" borderId="0" xfId="1" applyNumberFormat="1" applyFont="1" applyAlignment="1">
      <alignment horizontal="center"/>
    </xf>
    <xf numFmtId="1" fontId="0" fillId="2" borderId="0" xfId="0" applyNumberFormat="1" applyFill="1" applyAlignment="1">
      <alignment horizontal="center"/>
    </xf>
    <xf numFmtId="170" fontId="0" fillId="0" borderId="0" xfId="1" applyNumberFormat="1" applyFont="1" applyAlignment="1">
      <alignment horizontal="center"/>
    </xf>
    <xf numFmtId="4" fontId="0" fillId="2" borderId="0" xfId="0" applyNumberForma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0" fillId="0" borderId="0" xfId="0" applyFont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9" borderId="0" xfId="0" applyFill="1"/>
    <xf numFmtId="0" fontId="7" fillId="9" borderId="0" xfId="0" applyFont="1" applyFill="1" applyAlignment="1">
      <alignment horizontal="right"/>
    </xf>
    <xf numFmtId="2" fontId="0" fillId="9" borderId="0" xfId="0" applyNumberFormat="1" applyFill="1" applyAlignment="1">
      <alignment horizontal="center"/>
    </xf>
    <xf numFmtId="0" fontId="3" fillId="9" borderId="0" xfId="0" applyFont="1" applyFill="1"/>
    <xf numFmtId="0" fontId="3" fillId="9" borderId="0" xfId="0" applyFont="1" applyFill="1" applyAlignment="1">
      <alignment horizontal="right"/>
    </xf>
    <xf numFmtId="0" fontId="0" fillId="9" borderId="0" xfId="0" applyFill="1" applyAlignment="1">
      <alignment horizontal="right"/>
    </xf>
    <xf numFmtId="165" fontId="0" fillId="9" borderId="0" xfId="0" applyNumberFormat="1" applyFill="1" applyAlignment="1">
      <alignment horizontal="center"/>
    </xf>
    <xf numFmtId="0" fontId="5" fillId="9" borderId="0" xfId="0" applyFont="1" applyFill="1" applyAlignment="1">
      <alignment horizontal="right"/>
    </xf>
    <xf numFmtId="9" fontId="0" fillId="0" borderId="0" xfId="1" applyFont="1" applyFill="1" applyAlignment="1">
      <alignment horizontal="center"/>
    </xf>
    <xf numFmtId="165" fontId="0" fillId="0" borderId="0" xfId="0" applyNumberFormat="1" applyAlignment="1">
      <alignment horizontal="left"/>
    </xf>
    <xf numFmtId="171" fontId="0" fillId="0" borderId="0" xfId="1" applyNumberFormat="1" applyFont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1" applyFont="1" applyBorder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10" borderId="31" xfId="0" applyFill="1" applyBorder="1"/>
    <xf numFmtId="0" fontId="0" fillId="5" borderId="31" xfId="0" applyFill="1" applyBorder="1" applyAlignment="1">
      <alignment horizontal="center"/>
    </xf>
    <xf numFmtId="9" fontId="0" fillId="0" borderId="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9" fontId="14" fillId="0" borderId="0" xfId="1" applyFont="1" applyAlignment="1">
      <alignment horizontal="center"/>
    </xf>
    <xf numFmtId="2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9</xdr:row>
          <xdr:rowOff>0</xdr:rowOff>
        </xdr:from>
        <xdr:to>
          <xdr:col>25</xdr:col>
          <xdr:colOff>120015</xdr:colOff>
          <xdr:row>15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F0673F16-CE02-FD39-C2A4-C63F68DDC3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bellen!$E$40:$K$45" spid="_x0000_s34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982575" y="3114675"/>
              <a:ext cx="5000625" cy="1143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48</xdr:row>
      <xdr:rowOff>180975</xdr:rowOff>
    </xdr:from>
    <xdr:to>
      <xdr:col>13</xdr:col>
      <xdr:colOff>552450</xdr:colOff>
      <xdr:row>52</xdr:row>
      <xdr:rowOff>114300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923FC1F0-F5C2-3840-E2E3-C3D1F16F1D30}"/>
            </a:ext>
          </a:extLst>
        </xdr:cNvPr>
        <xdr:cNvSpPr/>
      </xdr:nvSpPr>
      <xdr:spPr>
        <a:xfrm>
          <a:off x="7248525" y="9134475"/>
          <a:ext cx="2990850" cy="695325"/>
        </a:xfrm>
        <a:custGeom>
          <a:avLst/>
          <a:gdLst>
            <a:gd name="connsiteX0" fmla="*/ 0 w 2895600"/>
            <a:gd name="connsiteY0" fmla="*/ 0 h 581025"/>
            <a:gd name="connsiteX1" fmla="*/ 0 w 2895600"/>
            <a:gd name="connsiteY1" fmla="*/ 581025 h 581025"/>
            <a:gd name="connsiteX2" fmla="*/ 2895600 w 2895600"/>
            <a:gd name="connsiteY2" fmla="*/ 581025 h 581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895600" h="581025">
              <a:moveTo>
                <a:pt x="0" y="0"/>
              </a:moveTo>
              <a:lnTo>
                <a:pt x="0" y="581025"/>
              </a:lnTo>
              <a:lnTo>
                <a:pt x="2895600" y="581025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266700</xdr:colOff>
      <xdr:row>49</xdr:row>
      <xdr:rowOff>9525</xdr:rowOff>
    </xdr:from>
    <xdr:to>
      <xdr:col>13</xdr:col>
      <xdr:colOff>542925</xdr:colOff>
      <xdr:row>51</xdr:row>
      <xdr:rowOff>76201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AEC47BA7-0FC5-4EB4-9560-C33636FABD91}"/>
            </a:ext>
          </a:extLst>
        </xdr:cNvPr>
        <xdr:cNvSpPr/>
      </xdr:nvSpPr>
      <xdr:spPr>
        <a:xfrm>
          <a:off x="8258175" y="9153525"/>
          <a:ext cx="1971675" cy="447676"/>
        </a:xfrm>
        <a:custGeom>
          <a:avLst/>
          <a:gdLst>
            <a:gd name="connsiteX0" fmla="*/ 0 w 2895600"/>
            <a:gd name="connsiteY0" fmla="*/ 0 h 581025"/>
            <a:gd name="connsiteX1" fmla="*/ 0 w 2895600"/>
            <a:gd name="connsiteY1" fmla="*/ 581025 h 581025"/>
            <a:gd name="connsiteX2" fmla="*/ 2895600 w 2895600"/>
            <a:gd name="connsiteY2" fmla="*/ 581025 h 581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895600" h="581025">
              <a:moveTo>
                <a:pt x="0" y="0"/>
              </a:moveTo>
              <a:lnTo>
                <a:pt x="0" y="581025"/>
              </a:lnTo>
              <a:lnTo>
                <a:pt x="2895600" y="581025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2</xdr:row>
      <xdr:rowOff>0</xdr:rowOff>
    </xdr:from>
    <xdr:to>
      <xdr:col>43</xdr:col>
      <xdr:colOff>311665</xdr:colOff>
      <xdr:row>32</xdr:row>
      <xdr:rowOff>82725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7E941-4901-20C2-A637-C59A02786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9950" y="381000"/>
          <a:ext cx="8240275" cy="58015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6</xdr:row>
      <xdr:rowOff>85725</xdr:rowOff>
    </xdr:from>
    <xdr:to>
      <xdr:col>7</xdr:col>
      <xdr:colOff>600075</xdr:colOff>
      <xdr:row>8</xdr:row>
      <xdr:rowOff>114300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2002B547-FC97-A1EE-B8E8-36ADF45792B7}"/>
            </a:ext>
          </a:extLst>
        </xdr:cNvPr>
        <xdr:cNvSpPr/>
      </xdr:nvSpPr>
      <xdr:spPr>
        <a:xfrm>
          <a:off x="5734050" y="1257300"/>
          <a:ext cx="542925" cy="409575"/>
        </a:xfrm>
        <a:custGeom>
          <a:avLst/>
          <a:gdLst>
            <a:gd name="connsiteX0" fmla="*/ 0 w 542925"/>
            <a:gd name="connsiteY0" fmla="*/ 409575 h 409575"/>
            <a:gd name="connsiteX1" fmla="*/ 266700 w 542925"/>
            <a:gd name="connsiteY1" fmla="*/ 409575 h 409575"/>
            <a:gd name="connsiteX2" fmla="*/ 266700 w 542925"/>
            <a:gd name="connsiteY2" fmla="*/ 0 h 409575"/>
            <a:gd name="connsiteX3" fmla="*/ 542925 w 542925"/>
            <a:gd name="connsiteY3" fmla="*/ 0 h 409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42925" h="409575">
              <a:moveTo>
                <a:pt x="0" y="409575"/>
              </a:moveTo>
              <a:lnTo>
                <a:pt x="266700" y="409575"/>
              </a:lnTo>
              <a:lnTo>
                <a:pt x="266700" y="0"/>
              </a:lnTo>
              <a:lnTo>
                <a:pt x="542925" y="0"/>
              </a:lnTo>
            </a:path>
          </a:pathLst>
        </a:custGeom>
        <a:noFill/>
        <a:ln>
          <a:headEnd type="none" w="med" len="med"/>
          <a:tailEnd type="triangl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160A-C346-412D-9E71-3213E2C98C85}">
  <dimension ref="C2:O48"/>
  <sheetViews>
    <sheetView tabSelected="1" topLeftCell="A4" zoomScale="115" zoomScaleNormal="115" workbookViewId="0">
      <selection activeCell="N24" sqref="N24"/>
    </sheetView>
  </sheetViews>
  <sheetFormatPr defaultRowHeight="15" x14ac:dyDescent="0.25"/>
  <cols>
    <col min="4" max="4" width="35.42578125" customWidth="1"/>
    <col min="5" max="5" width="9.5703125" customWidth="1"/>
    <col min="6" max="6" width="7.7109375" style="271" customWidth="1"/>
    <col min="7" max="8" width="5.7109375" customWidth="1"/>
    <col min="9" max="12" width="12.7109375" style="249" customWidth="1"/>
    <col min="13" max="15" width="10.7109375" customWidth="1"/>
  </cols>
  <sheetData>
    <row r="2" spans="3:15" x14ac:dyDescent="0.25">
      <c r="D2" s="268" t="s">
        <v>0</v>
      </c>
      <c r="E2" s="269" t="s">
        <v>15</v>
      </c>
    </row>
    <row r="5" spans="3:15" x14ac:dyDescent="0.25">
      <c r="D5" t="s">
        <v>2</v>
      </c>
    </row>
    <row r="6" spans="3:15" ht="125.25" customHeight="1" x14ac:dyDescent="0.25">
      <c r="I6" s="242" t="s">
        <v>3</v>
      </c>
      <c r="J6" s="242" t="s">
        <v>4</v>
      </c>
      <c r="K6" s="242" t="s">
        <v>5</v>
      </c>
      <c r="L6" s="242" t="s">
        <v>6</v>
      </c>
      <c r="M6" s="242"/>
      <c r="N6" s="242"/>
      <c r="O6" s="242"/>
    </row>
    <row r="7" spans="3:15" x14ac:dyDescent="0.25">
      <c r="D7" t="s">
        <v>7</v>
      </c>
      <c r="I7" s="250"/>
      <c r="J7" s="250"/>
      <c r="K7" s="250"/>
      <c r="L7" s="250"/>
      <c r="M7" s="1"/>
      <c r="N7" s="1"/>
      <c r="O7" s="1"/>
    </row>
    <row r="8" spans="3:15" x14ac:dyDescent="0.25">
      <c r="D8" t="s">
        <v>8</v>
      </c>
      <c r="I8" s="250"/>
      <c r="J8" s="250"/>
      <c r="K8" s="250"/>
      <c r="L8" s="250"/>
      <c r="M8" s="1"/>
      <c r="N8" s="1"/>
      <c r="O8" s="1"/>
    </row>
    <row r="9" spans="3:15" x14ac:dyDescent="0.25">
      <c r="D9" t="s">
        <v>9</v>
      </c>
      <c r="I9" s="250"/>
      <c r="J9" s="250"/>
      <c r="K9" s="250"/>
      <c r="L9" s="250"/>
      <c r="M9" s="1"/>
      <c r="N9" s="1"/>
      <c r="O9" s="1"/>
    </row>
    <row r="10" spans="3:15" x14ac:dyDescent="0.25">
      <c r="D10" t="s">
        <v>10</v>
      </c>
      <c r="I10" s="250"/>
      <c r="J10" s="250"/>
      <c r="K10" s="250"/>
      <c r="L10" s="250"/>
      <c r="M10" s="1"/>
      <c r="N10" s="1"/>
      <c r="O10" s="1"/>
    </row>
    <row r="11" spans="3:15" x14ac:dyDescent="0.25">
      <c r="D11" t="s">
        <v>11</v>
      </c>
      <c r="I11" s="250"/>
      <c r="J11" s="250"/>
      <c r="K11" s="250"/>
      <c r="L11" s="250"/>
      <c r="M11" s="1"/>
      <c r="N11" s="1"/>
      <c r="O11" s="1"/>
    </row>
    <row r="12" spans="3:15" x14ac:dyDescent="0.25">
      <c r="I12" s="250"/>
      <c r="J12" s="250"/>
      <c r="K12" s="250"/>
      <c r="L12" s="250"/>
      <c r="M12" s="1"/>
      <c r="N12" s="1"/>
      <c r="O12" s="1"/>
    </row>
    <row r="14" spans="3:15" x14ac:dyDescent="0.25">
      <c r="C14">
        <v>1</v>
      </c>
      <c r="D14" t="s">
        <v>12</v>
      </c>
      <c r="I14" s="250" t="s">
        <v>1</v>
      </c>
      <c r="J14" s="250" t="s">
        <v>13</v>
      </c>
      <c r="K14" s="250" t="s">
        <v>14</v>
      </c>
      <c r="L14" s="250" t="s">
        <v>15</v>
      </c>
      <c r="M14" s="1"/>
      <c r="N14" s="1"/>
      <c r="O14" s="1"/>
    </row>
    <row r="15" spans="3:15" x14ac:dyDescent="0.25">
      <c r="C15">
        <v>2</v>
      </c>
      <c r="D15" t="s">
        <v>16</v>
      </c>
      <c r="E15" t="s">
        <v>17</v>
      </c>
      <c r="F15" s="271">
        <v>1</v>
      </c>
      <c r="I15" s="250">
        <v>2</v>
      </c>
      <c r="J15" s="250">
        <v>2</v>
      </c>
      <c r="K15" s="250">
        <v>3</v>
      </c>
      <c r="L15" s="250">
        <v>3</v>
      </c>
      <c r="M15" s="1"/>
      <c r="N15" s="1"/>
      <c r="O15" s="1"/>
    </row>
    <row r="16" spans="3:15" x14ac:dyDescent="0.25">
      <c r="C16">
        <v>3</v>
      </c>
      <c r="D16" s="2" t="s">
        <v>18</v>
      </c>
      <c r="I16" s="250">
        <v>5</v>
      </c>
      <c r="J16" s="250">
        <v>1</v>
      </c>
      <c r="K16" s="250">
        <v>1</v>
      </c>
      <c r="L16" s="250">
        <v>3</v>
      </c>
      <c r="M16" s="1"/>
      <c r="N16" s="1"/>
      <c r="O16" s="1"/>
    </row>
    <row r="17" spans="3:15" x14ac:dyDescent="0.25">
      <c r="C17">
        <v>4</v>
      </c>
      <c r="D17" t="s">
        <v>19</v>
      </c>
      <c r="I17" s="250">
        <v>4</v>
      </c>
      <c r="J17" s="250">
        <v>1</v>
      </c>
      <c r="K17" s="250">
        <v>2</v>
      </c>
      <c r="L17" s="250">
        <v>3</v>
      </c>
      <c r="M17" s="1"/>
      <c r="N17" s="1"/>
      <c r="O17" s="1"/>
    </row>
    <row r="18" spans="3:15" x14ac:dyDescent="0.25">
      <c r="C18">
        <v>5</v>
      </c>
      <c r="D18" t="s">
        <v>20</v>
      </c>
      <c r="I18" s="250">
        <v>2</v>
      </c>
      <c r="J18" s="250">
        <v>1</v>
      </c>
      <c r="K18" s="250">
        <v>4</v>
      </c>
      <c r="L18" s="250">
        <v>3</v>
      </c>
      <c r="M18" s="1"/>
      <c r="N18" s="1"/>
      <c r="O18" s="1"/>
    </row>
    <row r="19" spans="3:15" x14ac:dyDescent="0.25">
      <c r="C19">
        <v>6</v>
      </c>
      <c r="D19" t="s">
        <v>21</v>
      </c>
      <c r="I19" s="250">
        <v>1</v>
      </c>
      <c r="J19" s="250">
        <v>3</v>
      </c>
      <c r="K19" s="250">
        <v>1</v>
      </c>
      <c r="L19" s="250">
        <v>3</v>
      </c>
      <c r="M19" s="1"/>
      <c r="N19" s="1"/>
      <c r="O19" s="1"/>
    </row>
    <row r="20" spans="3:15" x14ac:dyDescent="0.25">
      <c r="C20">
        <v>7</v>
      </c>
      <c r="D20" t="s">
        <v>22</v>
      </c>
      <c r="I20" s="250">
        <v>1</v>
      </c>
      <c r="J20" s="250">
        <v>2</v>
      </c>
      <c r="K20" s="250">
        <v>3</v>
      </c>
      <c r="L20" s="250">
        <v>2</v>
      </c>
      <c r="M20" s="1"/>
      <c r="N20" s="1"/>
      <c r="O20" s="1"/>
    </row>
    <row r="21" spans="3:15" x14ac:dyDescent="0.25">
      <c r="C21">
        <v>8</v>
      </c>
      <c r="D21" t="s">
        <v>23</v>
      </c>
      <c r="I21" s="250">
        <v>2</v>
      </c>
      <c r="J21" s="250">
        <v>2</v>
      </c>
      <c r="K21" s="250">
        <v>2</v>
      </c>
      <c r="L21" s="250">
        <v>2</v>
      </c>
      <c r="M21" s="1"/>
      <c r="N21" s="1"/>
      <c r="O21" s="1"/>
    </row>
    <row r="22" spans="3:15" x14ac:dyDescent="0.25">
      <c r="I22" s="250"/>
      <c r="J22" s="250"/>
      <c r="K22" s="250"/>
      <c r="L22" s="250"/>
      <c r="M22" s="1"/>
      <c r="N22" s="1"/>
      <c r="O22" s="1"/>
    </row>
    <row r="23" spans="3:15" x14ac:dyDescent="0.25">
      <c r="D23" t="s">
        <v>24</v>
      </c>
      <c r="I23" s="250"/>
      <c r="J23" s="250"/>
      <c r="K23" s="250"/>
      <c r="L23" s="250"/>
      <c r="M23" s="1"/>
      <c r="N23" s="1"/>
      <c r="O23" s="1"/>
    </row>
    <row r="24" spans="3:15" x14ac:dyDescent="0.25">
      <c r="D24" t="s">
        <v>18</v>
      </c>
      <c r="I24" s="250"/>
      <c r="J24" s="250"/>
      <c r="K24" s="250"/>
      <c r="L24" s="250"/>
      <c r="M24" s="1"/>
      <c r="N24" s="1"/>
      <c r="O24" s="1"/>
    </row>
    <row r="25" spans="3:15" x14ac:dyDescent="0.25">
      <c r="D25" s="2" t="s">
        <v>25</v>
      </c>
      <c r="E25" s="264"/>
      <c r="F25" s="270"/>
      <c r="G25" s="264"/>
      <c r="I25" s="265">
        <v>0.4</v>
      </c>
      <c r="J25" s="265">
        <f>VLOOKUP(Scenarios!J17,Tabellen!$E$42:$K$45,7)</f>
        <v>0.4</v>
      </c>
      <c r="K25" s="265">
        <f>VLOOKUP(Scenarios!K17,Tabellen!$E$42:$K$45,7)</f>
        <v>0.4</v>
      </c>
      <c r="L25" s="265">
        <f>VLOOKUP(Scenarios!L17,Tabellen!$E$42:$K$45,7)</f>
        <v>0.3</v>
      </c>
      <c r="M25" s="6"/>
      <c r="N25" s="6"/>
      <c r="O25" s="6"/>
    </row>
    <row r="26" spans="3:15" x14ac:dyDescent="0.25">
      <c r="D26" s="2" t="s">
        <v>26</v>
      </c>
      <c r="E26" s="1"/>
      <c r="G26" s="1"/>
      <c r="I26" s="266">
        <f>VLOOKUP(Scenarios!I19,Tabellen!$E$42:$K$45,2)</f>
        <v>0.3</v>
      </c>
      <c r="J26" s="266">
        <f>VLOOKUP(Scenarios!J19,Tabellen!$E$42:$K$45,2)</f>
        <v>0.2</v>
      </c>
      <c r="K26" s="266">
        <f>VLOOKUP(Scenarios!K19,Tabellen!$E$42:$K$45,2)</f>
        <v>0.3</v>
      </c>
      <c r="L26" s="266">
        <f>VLOOKUP(Scenarios!L19,Tabellen!$E$42:$K$45,2)</f>
        <v>0.2</v>
      </c>
      <c r="M26" s="1"/>
      <c r="N26" s="1"/>
      <c r="O26" s="1"/>
    </row>
    <row r="27" spans="3:15" x14ac:dyDescent="0.25">
      <c r="D27" s="2" t="s">
        <v>27</v>
      </c>
      <c r="E27" s="1"/>
      <c r="G27" s="1"/>
      <c r="I27" s="266">
        <f>VLOOKUP(Scenarios!I20,Tabellen!$E$42:$K$45,3)</f>
        <v>1.2</v>
      </c>
      <c r="J27" s="266">
        <f>VLOOKUP(Scenarios!J20,Tabellen!$E$42:$K$45,3)</f>
        <v>1.2</v>
      </c>
      <c r="K27" s="266">
        <f>VLOOKUP(Scenarios!K20,Tabellen!$E$42:$K$45,3)</f>
        <v>0.8</v>
      </c>
      <c r="L27" s="266">
        <f>VLOOKUP(Scenarios!L20,Tabellen!$E$42:$K$45,3)</f>
        <v>1.2</v>
      </c>
      <c r="M27" s="1"/>
      <c r="N27" s="1"/>
      <c r="O27" s="1"/>
    </row>
    <row r="28" spans="3:15" x14ac:dyDescent="0.25">
      <c r="D28" s="2" t="s">
        <v>28</v>
      </c>
      <c r="E28" s="1"/>
      <c r="G28" s="1"/>
      <c r="I28" s="267" t="str">
        <f>IF(I15=2,"zwart","groen")</f>
        <v>zwart</v>
      </c>
      <c r="J28" s="267" t="str">
        <f t="shared" ref="J28:L28" si="0">IF(J15=2,"zwart","groen")</f>
        <v>zwart</v>
      </c>
      <c r="K28" s="267" t="str">
        <f t="shared" si="0"/>
        <v>groen</v>
      </c>
      <c r="L28" s="267" t="str">
        <f t="shared" si="0"/>
        <v>groen</v>
      </c>
      <c r="M28" s="1"/>
      <c r="N28" s="1"/>
      <c r="O28" s="1"/>
    </row>
    <row r="29" spans="3:15" x14ac:dyDescent="0.25">
      <c r="D29" s="2" t="s">
        <v>29</v>
      </c>
      <c r="E29" s="1"/>
      <c r="G29" s="1"/>
      <c r="I29" s="267" t="s">
        <v>30</v>
      </c>
      <c r="J29" s="267" t="s">
        <v>30</v>
      </c>
      <c r="K29" s="267" t="s">
        <v>31</v>
      </c>
      <c r="L29" s="267" t="s">
        <v>32</v>
      </c>
      <c r="M29" s="1"/>
      <c r="N29" s="1"/>
      <c r="O29" s="1"/>
    </row>
    <row r="30" spans="3:15" ht="45" x14ac:dyDescent="0.25">
      <c r="D30" t="s">
        <v>19</v>
      </c>
      <c r="E30" s="1"/>
      <c r="G30" s="1"/>
      <c r="I30" s="267" t="str">
        <f>VLOOKUP(I$17,Ventilatie,2)</f>
        <v>Balans met WTW</v>
      </c>
      <c r="J30" s="267" t="str">
        <f>VLOOKUP(J$17,Ventilatie,2)</f>
        <v>Nat. toevoer + mech. Afzuiging</v>
      </c>
      <c r="K30" s="267" t="str">
        <f>VLOOKUP(K$17,Ventilatie,2)</f>
        <v>Nat toevoer met indirecte ww</v>
      </c>
      <c r="L30" s="267" t="str">
        <f>VLOOKUP(L$17,Ventilatie,2)</f>
        <v>Passive House</v>
      </c>
      <c r="M30" s="1"/>
      <c r="N30" s="1"/>
      <c r="O30" s="1"/>
    </row>
    <row r="31" spans="3:15" ht="60" x14ac:dyDescent="0.25">
      <c r="D31" t="s">
        <v>20</v>
      </c>
      <c r="E31" s="1"/>
      <c r="G31" s="1"/>
      <c r="I31" s="252" t="str">
        <f>VLOOKUP(I18,Warmte,2)</f>
        <v>Warmtepomp WKO</v>
      </c>
      <c r="J31" s="252" t="str">
        <f>VLOOKUP(J18,Warmte,2)</f>
        <v>Warmtepomp lucht</v>
      </c>
      <c r="K31" s="252" t="str">
        <f>VLOOKUP(K18,Warmte,2)</f>
        <v>Stadsverwarming Tapwater + warmtepomp</v>
      </c>
      <c r="L31" s="252" t="str">
        <f>VLOOKUP(L18,Warmte,2)</f>
        <v>Stadsverwarming + Koelmachine</v>
      </c>
      <c r="M31" s="1"/>
      <c r="N31" s="1"/>
      <c r="O31" s="1"/>
    </row>
    <row r="32" spans="3:15" x14ac:dyDescent="0.25">
      <c r="D32" t="s">
        <v>21</v>
      </c>
      <c r="E32" s="1"/>
      <c r="G32" s="1"/>
      <c r="I32" s="250" t="str">
        <f>VLOOKUP(I19,Collector,2)</f>
        <v>Geen</v>
      </c>
      <c r="J32" s="250" t="str">
        <f>VLOOKUP(J19,Collector,2)</f>
        <v>Standaard</v>
      </c>
      <c r="K32" s="250" t="str">
        <f>VLOOKUP(K19,Collector,2)</f>
        <v>Geen</v>
      </c>
      <c r="L32" s="250" t="str">
        <f>VLOOKUP(L19,Collector,2)</f>
        <v>Standaard</v>
      </c>
      <c r="M32" s="1"/>
      <c r="N32" s="1"/>
      <c r="O32" s="1"/>
    </row>
    <row r="33" spans="4:15" x14ac:dyDescent="0.25">
      <c r="D33" t="s">
        <v>22</v>
      </c>
      <c r="E33" s="1"/>
      <c r="G33" s="1"/>
      <c r="I33" s="250" t="s">
        <v>33</v>
      </c>
      <c r="J33" s="250" t="s">
        <v>33</v>
      </c>
      <c r="K33" s="250" t="s">
        <v>34</v>
      </c>
      <c r="L33" s="250" t="s">
        <v>35</v>
      </c>
      <c r="M33" s="1"/>
      <c r="N33" s="1"/>
      <c r="O33" s="1"/>
    </row>
    <row r="34" spans="4:15" x14ac:dyDescent="0.25">
      <c r="D34" t="s">
        <v>23</v>
      </c>
      <c r="E34" s="1"/>
      <c r="G34" s="1"/>
      <c r="I34" s="250" t="str">
        <f>VLOOKUP(Scenarios!I20,Douche,2)</f>
        <v>geen</v>
      </c>
      <c r="J34" s="250" t="str">
        <f>VLOOKUP(Scenarios!J20,Douche,2)</f>
        <v>individueel</v>
      </c>
      <c r="K34" s="250" t="str">
        <f>VLOOKUP(Scenarios!K20,Douche,2)</f>
        <v>collectief</v>
      </c>
      <c r="L34" s="250" t="str">
        <f>VLOOKUP(Scenarios!L20,Douche,2)</f>
        <v>individueel</v>
      </c>
      <c r="M34" s="1"/>
      <c r="N34" s="1"/>
      <c r="O34" s="1"/>
    </row>
    <row r="35" spans="4:15" x14ac:dyDescent="0.25">
      <c r="D35" s="1"/>
      <c r="I35" s="250"/>
      <c r="J35" s="250"/>
      <c r="K35" s="250"/>
      <c r="L35" s="250"/>
      <c r="M35" s="1"/>
      <c r="N35" s="1"/>
      <c r="O35" s="1"/>
    </row>
    <row r="36" spans="4:15" x14ac:dyDescent="0.25">
      <c r="E36" s="1" t="s">
        <v>36</v>
      </c>
      <c r="F36" s="271" t="s">
        <v>35</v>
      </c>
      <c r="I36" s="251" t="s">
        <v>36</v>
      </c>
      <c r="J36" s="251" t="s">
        <v>36</v>
      </c>
      <c r="K36" s="251" t="s">
        <v>36</v>
      </c>
      <c r="L36" s="251" t="s">
        <v>36</v>
      </c>
      <c r="M36" s="241"/>
      <c r="N36" s="241"/>
      <c r="O36" s="241"/>
    </row>
    <row r="37" spans="4:15" x14ac:dyDescent="0.25">
      <c r="D37" s="2" t="s">
        <v>37</v>
      </c>
      <c r="E37" s="5">
        <f>(E38+E39)/2</f>
        <v>-4.9999999999999989E-2</v>
      </c>
      <c r="F37" s="271">
        <v>0</v>
      </c>
      <c r="G37" s="240" t="s">
        <v>38</v>
      </c>
      <c r="I37" s="250"/>
      <c r="J37" s="250"/>
      <c r="K37" s="250"/>
      <c r="L37" s="250"/>
      <c r="M37" s="1"/>
      <c r="N37" s="1"/>
      <c r="O37" s="1"/>
    </row>
    <row r="38" spans="4:15" x14ac:dyDescent="0.25">
      <c r="D38" s="2" t="s">
        <v>39</v>
      </c>
      <c r="E38" s="5">
        <v>-0.3</v>
      </c>
      <c r="F38" s="271">
        <v>0</v>
      </c>
      <c r="G38" s="240" t="s">
        <v>38</v>
      </c>
      <c r="I38" s="250"/>
      <c r="J38" s="250"/>
      <c r="K38" s="250"/>
      <c r="L38" s="250"/>
      <c r="M38" s="1"/>
      <c r="N38" s="1"/>
      <c r="O38" s="1"/>
    </row>
    <row r="39" spans="4:15" x14ac:dyDescent="0.25">
      <c r="D39" s="2" t="s">
        <v>40</v>
      </c>
      <c r="E39" s="5">
        <v>0.2</v>
      </c>
      <c r="F39" s="271">
        <v>0</v>
      </c>
      <c r="G39" s="240" t="s">
        <v>38</v>
      </c>
      <c r="I39" s="250"/>
      <c r="J39" s="250"/>
      <c r="K39" s="250"/>
      <c r="L39" s="250"/>
      <c r="M39" s="1"/>
      <c r="N39" s="1"/>
      <c r="O39" s="1"/>
    </row>
    <row r="40" spans="4:15" x14ac:dyDescent="0.25">
      <c r="D40" s="2" t="s">
        <v>41</v>
      </c>
      <c r="E40" s="32">
        <v>75</v>
      </c>
      <c r="F40" s="271">
        <v>0</v>
      </c>
      <c r="G40" s="240" t="s">
        <v>42</v>
      </c>
      <c r="I40" s="250"/>
      <c r="J40" s="250"/>
      <c r="K40" s="250"/>
      <c r="L40" s="250"/>
      <c r="M40" s="1"/>
      <c r="N40" s="1"/>
      <c r="O40" s="1"/>
    </row>
    <row r="41" spans="4:15" x14ac:dyDescent="0.25">
      <c r="D41" s="2" t="s">
        <v>43</v>
      </c>
      <c r="E41" s="32">
        <v>30</v>
      </c>
      <c r="F41" s="271">
        <v>0</v>
      </c>
      <c r="G41" s="240" t="s">
        <v>42</v>
      </c>
      <c r="I41" s="250"/>
      <c r="J41" s="250"/>
      <c r="K41" s="250"/>
      <c r="L41" s="250"/>
      <c r="M41" s="1"/>
      <c r="N41" s="1"/>
      <c r="O41" s="1"/>
    </row>
    <row r="42" spans="4:15" x14ac:dyDescent="0.25">
      <c r="E42" s="5"/>
      <c r="I42" s="250"/>
      <c r="J42" s="250"/>
      <c r="K42" s="250"/>
      <c r="L42" s="250"/>
      <c r="M42" s="1"/>
      <c r="N42" s="1"/>
      <c r="O42" s="1"/>
    </row>
    <row r="43" spans="4:15" x14ac:dyDescent="0.25">
      <c r="E43" s="5" t="s">
        <v>36</v>
      </c>
      <c r="F43" s="271" t="s">
        <v>35</v>
      </c>
      <c r="I43" s="250" t="s">
        <v>35</v>
      </c>
      <c r="J43" s="250" t="s">
        <v>35</v>
      </c>
      <c r="K43" s="250" t="s">
        <v>35</v>
      </c>
      <c r="L43" s="250" t="s">
        <v>35</v>
      </c>
      <c r="M43" s="1"/>
      <c r="N43" s="1"/>
      <c r="O43" s="1"/>
    </row>
    <row r="44" spans="4:15" x14ac:dyDescent="0.25">
      <c r="D44" s="2" t="s">
        <v>44</v>
      </c>
      <c r="E44" s="5">
        <f>(E45+E46)/2</f>
        <v>1.5499999999999998</v>
      </c>
      <c r="F44" s="271">
        <v>0</v>
      </c>
      <c r="G44" s="240" t="s">
        <v>38</v>
      </c>
      <c r="I44" s="250"/>
      <c r="J44" s="250"/>
      <c r="K44" s="250"/>
      <c r="L44" s="250"/>
      <c r="M44" s="1"/>
      <c r="N44" s="1"/>
      <c r="O44" s="1"/>
    </row>
    <row r="45" spans="4:15" x14ac:dyDescent="0.25">
      <c r="D45" s="2" t="s">
        <v>45</v>
      </c>
      <c r="E45" s="5">
        <v>1.7</v>
      </c>
      <c r="F45" s="271">
        <v>0</v>
      </c>
      <c r="G45" s="240" t="s">
        <v>38</v>
      </c>
      <c r="I45" s="250"/>
      <c r="J45" s="250"/>
      <c r="K45" s="250"/>
      <c r="L45" s="250"/>
      <c r="M45" s="1"/>
      <c r="N45" s="1"/>
      <c r="O45" s="1"/>
    </row>
    <row r="46" spans="4:15" x14ac:dyDescent="0.25">
      <c r="D46" s="2" t="s">
        <v>46</v>
      </c>
      <c r="E46" s="5">
        <v>1.4</v>
      </c>
      <c r="F46" s="271">
        <v>0</v>
      </c>
      <c r="G46" s="240" t="s">
        <v>38</v>
      </c>
      <c r="I46" s="250"/>
      <c r="J46" s="250"/>
      <c r="K46" s="250"/>
      <c r="L46" s="250"/>
      <c r="M46" s="1"/>
      <c r="N46" s="1"/>
      <c r="O46" s="1"/>
    </row>
    <row r="47" spans="4:15" x14ac:dyDescent="0.25">
      <c r="D47" s="2" t="s">
        <v>47</v>
      </c>
      <c r="E47" s="32">
        <f>450</f>
        <v>450</v>
      </c>
      <c r="F47" s="271">
        <v>0</v>
      </c>
      <c r="G47" s="240" t="s">
        <v>42</v>
      </c>
      <c r="I47" s="250"/>
      <c r="J47" s="250"/>
      <c r="K47" s="250"/>
      <c r="L47" s="250"/>
      <c r="M47" s="1"/>
      <c r="N47" s="1"/>
      <c r="O47" s="1"/>
    </row>
    <row r="48" spans="4:15" x14ac:dyDescent="0.25">
      <c r="D48" s="2" t="s">
        <v>48</v>
      </c>
      <c r="E48" s="32">
        <f>220</f>
        <v>220</v>
      </c>
      <c r="F48" s="271">
        <v>0</v>
      </c>
      <c r="G48" s="240" t="s">
        <v>42</v>
      </c>
      <c r="I48" s="250"/>
      <c r="J48" s="250"/>
      <c r="K48" s="250"/>
      <c r="L48" s="250"/>
      <c r="M48" s="1"/>
      <c r="N48" s="1"/>
      <c r="O48" s="1"/>
    </row>
  </sheetData>
  <phoneticPr fontId="6" type="noConversion"/>
  <dataValidations count="1">
    <dataValidation type="list" allowBlank="1" showInputMessage="1" showErrorMessage="1" sqref="E2" xr:uid="{774E2BD3-5AD0-480B-9F7E-AE9CF8C5918A}">
      <formula1>$I$14:$L$14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B2BB-3774-4EDD-BCE7-D404C2A9E904}">
  <dimension ref="B2:Q55"/>
  <sheetViews>
    <sheetView zoomScaleNormal="100" workbookViewId="0">
      <selection activeCell="K8" sqref="K8"/>
    </sheetView>
  </sheetViews>
  <sheetFormatPr defaultRowHeight="15" x14ac:dyDescent="0.25"/>
  <cols>
    <col min="1" max="1" width="13.7109375" customWidth="1"/>
    <col min="2" max="2" width="10.7109375" style="85" customWidth="1"/>
    <col min="3" max="3" width="10.7109375" style="140" customWidth="1"/>
    <col min="4" max="4" width="4.42578125" customWidth="1"/>
    <col min="5" max="5" width="30.85546875" customWidth="1"/>
    <col min="6" max="6" width="6" style="37" customWidth="1"/>
    <col min="7" max="7" width="21.5703125" style="1" customWidth="1"/>
    <col min="8" max="8" width="6.85546875" customWidth="1"/>
    <col min="9" max="9" width="7.5703125" style="37" customWidth="1"/>
    <col min="10" max="10" width="7.42578125" customWidth="1"/>
    <col min="13" max="13" width="7.140625" customWidth="1"/>
  </cols>
  <sheetData>
    <row r="2" spans="2:12" x14ac:dyDescent="0.25">
      <c r="E2" s="39" t="s">
        <v>49</v>
      </c>
      <c r="F2" s="37" t="s">
        <v>50</v>
      </c>
    </row>
    <row r="4" spans="2:12" x14ac:dyDescent="0.25">
      <c r="B4" s="85" t="s">
        <v>51</v>
      </c>
      <c r="E4" t="s">
        <v>52</v>
      </c>
      <c r="F4" s="79">
        <v>5</v>
      </c>
      <c r="G4" s="1" t="str">
        <f>VLOOKUP(input_TypeApartement_value,Type,2)</f>
        <v>hoekappartement toren</v>
      </c>
      <c r="L4" t="s">
        <v>53</v>
      </c>
    </row>
    <row r="5" spans="2:12" x14ac:dyDescent="0.25">
      <c r="B5" s="85" t="s">
        <v>54</v>
      </c>
      <c r="E5" s="4" t="s">
        <v>55</v>
      </c>
      <c r="I5" s="79">
        <v>88</v>
      </c>
      <c r="J5" t="s">
        <v>56</v>
      </c>
    </row>
    <row r="6" spans="2:12" x14ac:dyDescent="0.25">
      <c r="B6" s="85" t="s">
        <v>57</v>
      </c>
      <c r="E6" t="s">
        <v>58</v>
      </c>
      <c r="F6" s="79">
        <v>5</v>
      </c>
      <c r="G6" s="1" t="str" cm="1">
        <f t="array" ref="G6">INDEX(Orientatie,F4,F6)</f>
        <v>Z-W</v>
      </c>
      <c r="I6" s="76"/>
    </row>
    <row r="7" spans="2:12" x14ac:dyDescent="0.25">
      <c r="B7" s="85" t="s">
        <v>59</v>
      </c>
      <c r="E7" s="4" t="s">
        <v>60</v>
      </c>
      <c r="I7" s="275">
        <v>55</v>
      </c>
      <c r="J7" t="s">
        <v>56</v>
      </c>
    </row>
    <row r="8" spans="2:12" x14ac:dyDescent="0.25">
      <c r="B8" s="85" t="s">
        <v>61</v>
      </c>
      <c r="C8" s="140" t="s">
        <v>62</v>
      </c>
      <c r="E8" s="4" t="s">
        <v>63</v>
      </c>
      <c r="I8" s="209">
        <f>K8*input_OppervlakBuitenGevel_value</f>
        <v>16.5</v>
      </c>
      <c r="J8" t="s">
        <v>56</v>
      </c>
      <c r="K8" s="273">
        <v>0.3</v>
      </c>
      <c r="L8" t="s">
        <v>64</v>
      </c>
    </row>
    <row r="9" spans="2:12" x14ac:dyDescent="0.25">
      <c r="B9" s="85" t="s">
        <v>65</v>
      </c>
      <c r="E9" s="4" t="s">
        <v>66</v>
      </c>
      <c r="I9" s="274">
        <v>0.2</v>
      </c>
      <c r="J9" t="s">
        <v>67</v>
      </c>
      <c r="K9" s="91"/>
    </row>
    <row r="10" spans="2:12" x14ac:dyDescent="0.25">
      <c r="B10" s="85" t="s">
        <v>68</v>
      </c>
      <c r="E10" s="4" t="s">
        <v>69</v>
      </c>
      <c r="I10" s="274">
        <v>0.8</v>
      </c>
      <c r="J10" t="s">
        <v>67</v>
      </c>
    </row>
    <row r="11" spans="2:12" x14ac:dyDescent="0.25">
      <c r="B11" s="85" t="s">
        <v>70</v>
      </c>
      <c r="E11" s="4" t="s">
        <v>71</v>
      </c>
      <c r="I11" s="274">
        <v>0.35</v>
      </c>
    </row>
    <row r="12" spans="2:12" x14ac:dyDescent="0.25">
      <c r="B12" s="85" t="s">
        <v>72</v>
      </c>
      <c r="E12" s="4" t="s">
        <v>73</v>
      </c>
      <c r="I12" s="274">
        <v>0.12</v>
      </c>
    </row>
    <row r="13" spans="2:12" x14ac:dyDescent="0.25">
      <c r="E13" s="4" t="s">
        <v>74</v>
      </c>
      <c r="F13" s="37">
        <v>1</v>
      </c>
      <c r="I13" s="274"/>
    </row>
    <row r="14" spans="2:12" x14ac:dyDescent="0.25">
      <c r="B14" s="85" t="s">
        <v>75</v>
      </c>
      <c r="E14" t="s">
        <v>28</v>
      </c>
      <c r="F14" s="79">
        <f>IF(input_DakaAnwezigheid_value=0,1,HLOOKUP(scenario_selection, Scenario_Table, 2,FALSE))</f>
        <v>3</v>
      </c>
      <c r="G14" s="1" t="str">
        <f>VLOOKUP(F14,Dak,2)</f>
        <v>Groen</v>
      </c>
      <c r="I14" s="82"/>
      <c r="L14" t="s">
        <v>76</v>
      </c>
    </row>
    <row r="15" spans="2:12" x14ac:dyDescent="0.25">
      <c r="E15" t="str">
        <f>IF(F14&gt;1,"Uwaarde","")</f>
        <v>Uwaarde</v>
      </c>
      <c r="I15" s="82">
        <f>VLOOKUP(Dak_value,Dak_Uw,4)</f>
        <v>0.18000000000000002</v>
      </c>
      <c r="J15" t="s">
        <v>67</v>
      </c>
    </row>
    <row r="16" spans="2:12" x14ac:dyDescent="0.25">
      <c r="B16" s="85" t="s">
        <v>77</v>
      </c>
      <c r="E16" s="2" t="s">
        <v>18</v>
      </c>
      <c r="F16" s="83">
        <v>3</v>
      </c>
      <c r="G16" s="1" t="str">
        <f>VLOOKUP(F16,Constructie,2)</f>
        <v>Hybride hout-beton</v>
      </c>
    </row>
    <row r="17" spans="2:13" x14ac:dyDescent="0.25">
      <c r="B17" s="85" t="s">
        <v>78</v>
      </c>
      <c r="E17" s="2" t="s">
        <v>79</v>
      </c>
      <c r="F17" s="86">
        <v>29.6</v>
      </c>
      <c r="J17" t="s">
        <v>80</v>
      </c>
    </row>
    <row r="18" spans="2:13" x14ac:dyDescent="0.25">
      <c r="E18" s="2"/>
    </row>
    <row r="20" spans="2:13" x14ac:dyDescent="0.25">
      <c r="E20" s="38" t="s">
        <v>81</v>
      </c>
    </row>
    <row r="21" spans="2:13" x14ac:dyDescent="0.25">
      <c r="E21" t="s">
        <v>19</v>
      </c>
      <c r="F21" s="83">
        <f>HLOOKUP(scenario_selection, Scenario_Table, 4,FALSE)</f>
        <v>3</v>
      </c>
      <c r="G21" s="1" t="str">
        <f>VLOOKUP(F21,Ventilatie,2)</f>
        <v>Passive House</v>
      </c>
    </row>
    <row r="22" spans="2:13" x14ac:dyDescent="0.25">
      <c r="E22" t="s">
        <v>20</v>
      </c>
      <c r="F22" s="83">
        <f>HLOOKUP(scenario_selection, Scenario_Table, 5,FALSE)</f>
        <v>3</v>
      </c>
      <c r="G22" s="1" t="str">
        <f>VLOOKUP(F22,Warmte,2)</f>
        <v>Stadsverwarming + Koelmachine</v>
      </c>
    </row>
    <row r="23" spans="2:13" x14ac:dyDescent="0.25">
      <c r="E23" t="s">
        <v>21</v>
      </c>
      <c r="F23" s="83">
        <f>HLOOKUP(scenario_selection, Scenario_Table, 6,FALSE)</f>
        <v>3</v>
      </c>
      <c r="G23" s="1" t="str">
        <f>VLOOKUP(F23,Collector,2)</f>
        <v>Standaard</v>
      </c>
      <c r="H23" t="s">
        <v>82</v>
      </c>
      <c r="I23" s="84">
        <f>IF(Zonnecollector_value&gt;1,1,0)</f>
        <v>1</v>
      </c>
      <c r="J23" t="str">
        <f>IF(F23&gt;1,"m²","")</f>
        <v>m²</v>
      </c>
    </row>
    <row r="24" spans="2:13" x14ac:dyDescent="0.25">
      <c r="E24" t="s">
        <v>22</v>
      </c>
      <c r="F24" s="83">
        <f>HLOOKUP(scenario_selection, Scenario_Table, 7,FALSE)</f>
        <v>2</v>
      </c>
      <c r="G24" s="1" t="str">
        <f>VLOOKUP(F24,Douche,2)</f>
        <v>individueel</v>
      </c>
    </row>
    <row r="25" spans="2:13" x14ac:dyDescent="0.25">
      <c r="E25" t="s">
        <v>23</v>
      </c>
      <c r="F25" s="83">
        <f>HLOOKUP(scenario_selection, Scenario_Table, 8,FALSE)</f>
        <v>2</v>
      </c>
      <c r="G25" s="1" t="str">
        <f>IF(F25=1,"nee","ja")</f>
        <v>ja</v>
      </c>
    </row>
    <row r="28" spans="2:13" x14ac:dyDescent="0.25">
      <c r="E28" s="39" t="s">
        <v>83</v>
      </c>
    </row>
    <row r="29" spans="2:13" x14ac:dyDescent="0.25">
      <c r="E29" s="2" t="s">
        <v>84</v>
      </c>
      <c r="F29" s="83">
        <v>2</v>
      </c>
      <c r="G29" s="1" t="str">
        <f>VLOOKUP(F29,Gegevens,2)</f>
        <v>bekend</v>
      </c>
      <c r="H29" s="276" t="s">
        <v>85</v>
      </c>
      <c r="I29" s="276"/>
      <c r="J29" s="276"/>
      <c r="K29" t="s">
        <v>86</v>
      </c>
    </row>
    <row r="30" spans="2:13" x14ac:dyDescent="0.25">
      <c r="E30" s="4" t="str">
        <f>IF(F$29=2,"Locatie gegevens Tgem","")</f>
        <v>Locatie gegevens Tgem</v>
      </c>
      <c r="F30" s="85"/>
      <c r="H30" s="40" t="str">
        <f>IF(F$29=2,"Δ","")</f>
        <v>Δ</v>
      </c>
      <c r="I30" s="77">
        <f>0.4</f>
        <v>0.4</v>
      </c>
      <c r="J30" s="36" t="str">
        <f>IF($F$29=2,"°C","")</f>
        <v>°C</v>
      </c>
      <c r="K30" s="1">
        <v>11.8</v>
      </c>
      <c r="L30" s="36" t="s">
        <v>87</v>
      </c>
      <c r="M30" s="120">
        <f>(F29-1)*I30+K30</f>
        <v>12.200000000000001</v>
      </c>
    </row>
    <row r="31" spans="2:13" x14ac:dyDescent="0.25">
      <c r="B31" s="85" t="s">
        <v>88</v>
      </c>
      <c r="E31" s="4" t="str">
        <f>IF(F$29=2,"Locatie gegevens Tgem.zomer","")</f>
        <v>Locatie gegevens Tgem.zomer</v>
      </c>
      <c r="F31" s="85"/>
      <c r="H31" s="40" t="str">
        <f t="shared" ref="H31:H34" si="0">IF(F$29=2,"Δ","")</f>
        <v>Δ</v>
      </c>
      <c r="I31" s="77">
        <f>-0.2</f>
        <v>-0.2</v>
      </c>
      <c r="J31" s="36" t="str">
        <f>IF($F$29=2,"°C","")</f>
        <v>°C</v>
      </c>
      <c r="K31" s="1">
        <v>15.3</v>
      </c>
      <c r="L31" s="36" t="s">
        <v>87</v>
      </c>
      <c r="M31" s="120">
        <f>(F29-1)*I31+K31</f>
        <v>15.100000000000001</v>
      </c>
    </row>
    <row r="32" spans="2:13" x14ac:dyDescent="0.25">
      <c r="B32" s="85" t="s">
        <v>89</v>
      </c>
      <c r="E32" s="4" t="str">
        <f>IF(F$29=2,"Locatie gegevens Tgem.winter","")</f>
        <v>Locatie gegevens Tgem.winter</v>
      </c>
      <c r="F32" s="85"/>
      <c r="H32" s="40" t="str">
        <f t="shared" si="0"/>
        <v>Δ</v>
      </c>
      <c r="I32" s="77">
        <f>0.6</f>
        <v>0.6</v>
      </c>
      <c r="J32" s="36" t="str">
        <f>IF($F$29=2,"°C","")</f>
        <v>°C</v>
      </c>
      <c r="K32" s="1">
        <f>K30-(K31-K30)</f>
        <v>8.3000000000000007</v>
      </c>
      <c r="L32" s="36" t="s">
        <v>87</v>
      </c>
      <c r="M32" s="120">
        <f>(F29-1)*I32+K32</f>
        <v>8.9</v>
      </c>
    </row>
    <row r="33" spans="2:17" x14ac:dyDescent="0.25">
      <c r="B33" s="85" t="s">
        <v>90</v>
      </c>
      <c r="E33" s="4" t="str">
        <f>IF(F$29=2,"Locatie gegevens Ezon.zomer","")</f>
        <v>Locatie gegevens Ezon.zomer</v>
      </c>
      <c r="F33" s="85"/>
      <c r="H33" s="40" t="str">
        <f t="shared" si="0"/>
        <v>Δ</v>
      </c>
      <c r="I33" s="77">
        <f>100*750/1000</f>
        <v>75</v>
      </c>
      <c r="J33" s="36" t="str">
        <f>IF($F$29=2,"kWh/m²","")</f>
        <v>kWh/m²</v>
      </c>
      <c r="K33" s="1">
        <v>700</v>
      </c>
      <c r="L33" s="36" t="s">
        <v>91</v>
      </c>
      <c r="M33" s="118">
        <f>(F29-1)*I33+K33</f>
        <v>775</v>
      </c>
    </row>
    <row r="34" spans="2:17" x14ac:dyDescent="0.25">
      <c r="B34" s="85" t="s">
        <v>92</v>
      </c>
      <c r="E34" s="4" t="str">
        <f>IF(F$29=2,"Locatie gegevensEzon.winter","")</f>
        <v>Locatie gegevensEzon.winter</v>
      </c>
      <c r="F34" s="85"/>
      <c r="H34" s="40" t="str">
        <f t="shared" si="0"/>
        <v>Δ</v>
      </c>
      <c r="I34" s="77">
        <f>I33/3</f>
        <v>25</v>
      </c>
      <c r="J34" s="36" t="str">
        <f>IF($F$29=2,"kWh/m²","")</f>
        <v>kWh/m²</v>
      </c>
      <c r="K34" s="1">
        <v>200</v>
      </c>
      <c r="L34" s="36" t="s">
        <v>91</v>
      </c>
      <c r="M34" s="118">
        <f>(F29-1)*I34+K34</f>
        <v>225</v>
      </c>
    </row>
    <row r="35" spans="2:17" x14ac:dyDescent="0.25">
      <c r="E35" s="2" t="s">
        <v>93</v>
      </c>
      <c r="F35" s="83">
        <v>1</v>
      </c>
      <c r="G35" s="1" t="str">
        <f>VLOOKUP(F35,Gegevens,2)</f>
        <v>onbekend</v>
      </c>
      <c r="H35" s="40"/>
      <c r="I35" s="77"/>
      <c r="M35" s="118"/>
    </row>
    <row r="36" spans="2:17" x14ac:dyDescent="0.25">
      <c r="E36" s="4" t="str">
        <f>IF(F$35=2,"Climate Change effect Tgem","")</f>
        <v/>
      </c>
      <c r="F36" s="85"/>
      <c r="H36" s="40" t="str">
        <f>IF(F$35=2,"Δ","")</f>
        <v/>
      </c>
      <c r="I36" s="78">
        <f>(I37+I38)/2</f>
        <v>0.95</v>
      </c>
      <c r="J36" s="36" t="str">
        <f>IF($F$35=2,"°C","")</f>
        <v/>
      </c>
      <c r="K36" s="1">
        <v>11.8</v>
      </c>
      <c r="L36" s="36" t="s">
        <v>87</v>
      </c>
      <c r="M36" s="232">
        <f>(F35-1)*I36+LocatieGegevensTgem_value</f>
        <v>12.200000000000001</v>
      </c>
    </row>
    <row r="37" spans="2:17" x14ac:dyDescent="0.25">
      <c r="B37" s="85" t="s">
        <v>94</v>
      </c>
      <c r="E37" s="4" t="str">
        <f>IF(F$35=2,"Climate Change effect Tgem.zomer","")</f>
        <v/>
      </c>
      <c r="F37" s="85"/>
      <c r="H37" s="40" t="str">
        <f t="shared" ref="H37:H40" si="1">IF(F$35=2,"Δ","")</f>
        <v/>
      </c>
      <c r="I37" s="78">
        <v>0.7</v>
      </c>
      <c r="J37" s="36" t="str">
        <f t="shared" ref="J37:J38" si="2">IF($F$35=2,"°C","")</f>
        <v/>
      </c>
      <c r="K37" s="1">
        <v>15.3</v>
      </c>
      <c r="L37" s="36" t="s">
        <v>87</v>
      </c>
      <c r="M37" s="232">
        <f>(F35-1)*I37+LocatieGegevensTgemZomer_value</f>
        <v>15.100000000000001</v>
      </c>
    </row>
    <row r="38" spans="2:17" x14ac:dyDescent="0.25">
      <c r="B38" s="85" t="s">
        <v>95</v>
      </c>
      <c r="E38" s="4" t="str">
        <f>IF(F$35=2,"Climate Change effect Tgem.winter","")</f>
        <v/>
      </c>
      <c r="F38" s="85"/>
      <c r="H38" s="40" t="str">
        <f t="shared" si="1"/>
        <v/>
      </c>
      <c r="I38" s="78">
        <v>1.2</v>
      </c>
      <c r="J38" s="36" t="str">
        <f t="shared" si="2"/>
        <v/>
      </c>
      <c r="K38" s="1">
        <f>K36-(K37-K36)</f>
        <v>8.3000000000000007</v>
      </c>
      <c r="L38" s="36" t="s">
        <v>87</v>
      </c>
      <c r="M38" s="232">
        <f>(F35-1)*I38+LocatieGegevensTgemWinter_value</f>
        <v>8.9</v>
      </c>
    </row>
    <row r="39" spans="2:17" x14ac:dyDescent="0.25">
      <c r="B39" s="85" t="s">
        <v>96</v>
      </c>
      <c r="E39" s="4" t="str">
        <f>IF(F$35=2,"Climate Change effect Ezon.zomer","")</f>
        <v/>
      </c>
      <c r="F39" s="85"/>
      <c r="H39" s="40" t="str">
        <f t="shared" si="1"/>
        <v/>
      </c>
      <c r="I39" s="77">
        <v>100</v>
      </c>
      <c r="J39" s="36" t="str">
        <f>IF($F$35=2,"kWh/m²","")</f>
        <v/>
      </c>
      <c r="K39" s="1">
        <v>700</v>
      </c>
      <c r="L39" s="36" t="s">
        <v>91</v>
      </c>
      <c r="M39" s="118">
        <f>(1+((F35-1)*I39)/K39)*LocatieGegevensEzonZomer_value</f>
        <v>775</v>
      </c>
    </row>
    <row r="40" spans="2:17" x14ac:dyDescent="0.25">
      <c r="B40" s="85" t="s">
        <v>97</v>
      </c>
      <c r="E40" s="4" t="str">
        <f>IF(F$35=2,"Climate Change effect Ezon.winter","")</f>
        <v/>
      </c>
      <c r="F40" s="85"/>
      <c r="H40" s="40" t="str">
        <f t="shared" si="1"/>
        <v/>
      </c>
      <c r="I40" s="77">
        <v>50</v>
      </c>
      <c r="J40" s="36" t="str">
        <f>IF($F$35=2,"kWh/m²","")</f>
        <v/>
      </c>
      <c r="K40" s="1">
        <v>200</v>
      </c>
      <c r="L40" s="36" t="s">
        <v>91</v>
      </c>
      <c r="M40" s="118">
        <f>(1+((F35-1)*I40)/K40)*LocatieGegevensEzonWinter_value</f>
        <v>225</v>
      </c>
    </row>
    <row r="41" spans="2:17" x14ac:dyDescent="0.25">
      <c r="E41" s="2" t="s">
        <v>98</v>
      </c>
      <c r="F41" s="83">
        <v>1</v>
      </c>
      <c r="G41" s="1" t="str">
        <f>VLOOKUP(F41,Gegevens,2)</f>
        <v>onbekend</v>
      </c>
      <c r="H41" s="40"/>
      <c r="I41" s="77"/>
      <c r="M41" s="118"/>
    </row>
    <row r="42" spans="2:17" x14ac:dyDescent="0.25">
      <c r="E42" s="4" t="str">
        <f>IF(F$41=2,"Urban Heat Island Tgem","")</f>
        <v/>
      </c>
      <c r="F42" s="85"/>
      <c r="H42" s="40" t="str">
        <f>IF(F$41=2,"Δ","")</f>
        <v/>
      </c>
      <c r="I42" s="76">
        <v>0.5</v>
      </c>
      <c r="J42" s="36" t="str">
        <f>IF($F$41=2,"°C","")</f>
        <v/>
      </c>
      <c r="K42" s="1">
        <v>11.8</v>
      </c>
      <c r="L42" s="36" t="s">
        <v>87</v>
      </c>
      <c r="M42" s="236">
        <f>(F41-1)*I42+ClimateChangeEffectTgem_value</f>
        <v>12.200000000000001</v>
      </c>
      <c r="O42" t="s">
        <v>99</v>
      </c>
      <c r="Q42" t="s">
        <v>100</v>
      </c>
    </row>
    <row r="43" spans="2:17" x14ac:dyDescent="0.25">
      <c r="B43" s="85" t="s">
        <v>101</v>
      </c>
      <c r="E43" s="4" t="str">
        <f>IF(F$41=2,"Urban Heat Island Tgem.zomer","")</f>
        <v/>
      </c>
      <c r="F43" s="85"/>
      <c r="H43" s="40" t="str">
        <f t="shared" ref="H43:H44" si="3">IF(F$41=2,"Δ","")</f>
        <v/>
      </c>
      <c r="I43" s="76">
        <v>0.7</v>
      </c>
      <c r="J43" s="36" t="str">
        <f t="shared" ref="J43:J44" si="4">IF($F$41=2,"°C","")</f>
        <v/>
      </c>
      <c r="K43" s="1">
        <v>15.3</v>
      </c>
      <c r="L43" s="36" t="s">
        <v>87</v>
      </c>
      <c r="M43" s="236">
        <f>(F41-1)*I43+ClimateChangeEffectTgemZomer_value</f>
        <v>15.100000000000001</v>
      </c>
      <c r="O43" t="s">
        <v>99</v>
      </c>
      <c r="Q43" t="s">
        <v>100</v>
      </c>
    </row>
    <row r="44" spans="2:17" x14ac:dyDescent="0.25">
      <c r="B44" s="85" t="s">
        <v>102</v>
      </c>
      <c r="E44" s="4" t="str">
        <f>IF(F$41=2,"Urban Heat Island Tgem.winter","")</f>
        <v/>
      </c>
      <c r="F44" s="85"/>
      <c r="H44" s="40" t="str">
        <f t="shared" si="3"/>
        <v/>
      </c>
      <c r="I44" s="76">
        <v>0.2</v>
      </c>
      <c r="J44" s="36" t="str">
        <f t="shared" si="4"/>
        <v/>
      </c>
      <c r="K44" s="1">
        <f>K42-(K43-K42)</f>
        <v>8.3000000000000007</v>
      </c>
      <c r="L44" s="36" t="s">
        <v>87</v>
      </c>
      <c r="M44" s="236">
        <f>(F41-1)*I44+ClimateChangeEffectTgemWinter_value</f>
        <v>8.9</v>
      </c>
      <c r="O44" t="s">
        <v>99</v>
      </c>
      <c r="Q44" t="s">
        <v>100</v>
      </c>
    </row>
    <row r="45" spans="2:17" x14ac:dyDescent="0.25">
      <c r="E45" s="2" t="s">
        <v>103</v>
      </c>
      <c r="F45" s="83">
        <v>1</v>
      </c>
      <c r="G45" s="1" t="str">
        <f>VLOOKUP(F45,Gegevens,2)</f>
        <v>onbekend</v>
      </c>
      <c r="H45" s="40"/>
      <c r="I45" s="76"/>
      <c r="J45" s="36"/>
      <c r="K45" s="1"/>
      <c r="L45" s="36"/>
      <c r="M45" s="237"/>
    </row>
    <row r="46" spans="2:17" x14ac:dyDescent="0.25">
      <c r="B46" s="85" t="s">
        <v>104</v>
      </c>
      <c r="E46" s="4" t="str">
        <f>IF(F$45=2,"Bezonning gevel Ezon.zomer","")</f>
        <v/>
      </c>
      <c r="F46" s="85"/>
      <c r="H46" s="40"/>
      <c r="I46" s="76">
        <v>600</v>
      </c>
      <c r="J46" s="36" t="str">
        <f>IF($F$45=2,"kWh/m²","")</f>
        <v/>
      </c>
      <c r="K46" s="1">
        <v>700</v>
      </c>
      <c r="L46" s="36" t="s">
        <v>91</v>
      </c>
      <c r="M46" s="237">
        <f>IF(F45=1,ClimateChangeEffectEzonZomer_value,BezonningGevelEzonZomer_value/K46*ClimateChangeEffectEzonZomer_value)</f>
        <v>775</v>
      </c>
      <c r="O46" t="s">
        <v>105</v>
      </c>
    </row>
    <row r="47" spans="2:17" x14ac:dyDescent="0.25">
      <c r="B47" s="85" t="s">
        <v>106</v>
      </c>
      <c r="E47" s="4" t="str">
        <f>IF(F$45=2,"Bezonning gevel Ezon.winter","")</f>
        <v/>
      </c>
      <c r="F47" s="85"/>
      <c r="H47" s="40"/>
      <c r="I47" s="76">
        <v>275</v>
      </c>
      <c r="J47" s="36" t="str">
        <f>IF($F$45=2,"kWh/m²","")</f>
        <v/>
      </c>
      <c r="K47" s="1">
        <v>200</v>
      </c>
      <c r="L47" s="36" t="s">
        <v>91</v>
      </c>
      <c r="M47" s="237">
        <f>IF(F45=1,ClimateChangeEffectEzonWinter_value,BezonningGevelEzonWinter_value/K47*ClimateChangeEffectEzonWinter_value)</f>
        <v>225</v>
      </c>
      <c r="O47" t="s">
        <v>105</v>
      </c>
    </row>
    <row r="48" spans="2:17" x14ac:dyDescent="0.25">
      <c r="E48" s="2" t="s">
        <v>107</v>
      </c>
      <c r="F48" s="83">
        <v>2</v>
      </c>
      <c r="G48" s="1" t="str">
        <f>VLOOKUP(F48,Gegevens,2)</f>
        <v>bekend</v>
      </c>
      <c r="I48" s="76"/>
      <c r="M48" s="238"/>
    </row>
    <row r="49" spans="2:15" x14ac:dyDescent="0.25">
      <c r="B49" s="85" t="s">
        <v>108</v>
      </c>
      <c r="G49" s="1">
        <v>0</v>
      </c>
      <c r="H49" s="40" t="str">
        <f>IF(F$48=2,"DF","")</f>
        <v>DF</v>
      </c>
      <c r="I49" s="117">
        <v>7.0000000000000007E-2</v>
      </c>
      <c r="K49" s="75">
        <f>(K8/0.7)</f>
        <v>0.4285714285714286</v>
      </c>
      <c r="M49" s="239">
        <f>K49*input_BerekendDaglichtFactor_value</f>
        <v>3.0000000000000006E-2</v>
      </c>
      <c r="O49" t="s">
        <v>109</v>
      </c>
    </row>
    <row r="50" spans="2:15" x14ac:dyDescent="0.25">
      <c r="O50" t="s">
        <v>110</v>
      </c>
    </row>
    <row r="51" spans="2:15" x14ac:dyDescent="0.25">
      <c r="D51" s="88">
        <v>1</v>
      </c>
      <c r="E51" t="s">
        <v>111</v>
      </c>
    </row>
    <row r="52" spans="2:15" x14ac:dyDescent="0.25">
      <c r="D52" s="89">
        <v>2</v>
      </c>
      <c r="E52" t="s">
        <v>112</v>
      </c>
      <c r="O52" t="s">
        <v>113</v>
      </c>
    </row>
    <row r="53" spans="2:15" x14ac:dyDescent="0.25">
      <c r="D53" s="90">
        <v>3</v>
      </c>
      <c r="E53" t="s">
        <v>114</v>
      </c>
      <c r="O53" t="s">
        <v>115</v>
      </c>
    </row>
    <row r="54" spans="2:15" x14ac:dyDescent="0.25">
      <c r="D54" s="87">
        <v>4</v>
      </c>
      <c r="E54" t="s">
        <v>116</v>
      </c>
    </row>
    <row r="55" spans="2:15" x14ac:dyDescent="0.25">
      <c r="D55" s="87"/>
      <c r="G55" s="2" t="s">
        <v>117</v>
      </c>
      <c r="K55" s="263">
        <v>9.4999999999999998E-3</v>
      </c>
      <c r="O55" t="s">
        <v>118</v>
      </c>
    </row>
  </sheetData>
  <mergeCells count="1">
    <mergeCell ref="H29:J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BE40-8E65-45A5-88C7-7FCF148CC44B}">
  <dimension ref="B3:AB102"/>
  <sheetViews>
    <sheetView zoomScaleNormal="100" workbookViewId="0">
      <selection activeCell="G35" sqref="G35"/>
    </sheetView>
  </sheetViews>
  <sheetFormatPr defaultRowHeight="15" x14ac:dyDescent="0.25"/>
  <cols>
    <col min="2" max="2" width="9.140625" style="1"/>
    <col min="3" max="3" width="9.140625" style="140"/>
    <col min="6" max="6" width="33.42578125" customWidth="1"/>
    <col min="7" max="7" width="15.7109375" customWidth="1"/>
    <col min="11" max="11" width="11.140625" customWidth="1"/>
    <col min="13" max="13" width="30.7109375" customWidth="1"/>
    <col min="14" max="14" width="6.140625" customWidth="1"/>
    <col min="16" max="16" width="9.5703125" bestFit="1" customWidth="1"/>
    <col min="26" max="26" width="10.5703125" bestFit="1" customWidth="1"/>
  </cols>
  <sheetData>
    <row r="3" spans="5:28" x14ac:dyDescent="0.25">
      <c r="X3" s="7">
        <v>1</v>
      </c>
      <c r="Y3" s="1" t="s">
        <v>119</v>
      </c>
      <c r="Z3" s="5">
        <f>3600/1000</f>
        <v>3.6</v>
      </c>
      <c r="AA3" s="2" t="s">
        <v>120</v>
      </c>
    </row>
    <row r="4" spans="5:28" x14ac:dyDescent="0.25"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7">
        <v>1</v>
      </c>
      <c r="Y4" s="1" t="s">
        <v>120</v>
      </c>
      <c r="Z4" s="5">
        <f>1/Z3</f>
        <v>0.27777777777777779</v>
      </c>
      <c r="AA4" s="2" t="s">
        <v>119</v>
      </c>
    </row>
    <row r="5" spans="5:28" x14ac:dyDescent="0.25">
      <c r="E5" s="49"/>
      <c r="F5" s="49" t="s">
        <v>121</v>
      </c>
      <c r="G5" s="57">
        <f>HLOOKUP(Invoer!$I$5,Bezetting,6)</f>
        <v>2.2257785467128031</v>
      </c>
      <c r="H5" s="49" t="s">
        <v>122</v>
      </c>
      <c r="I5" s="49"/>
      <c r="J5" s="49"/>
      <c r="K5" s="49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7"/>
      <c r="Y5" s="1"/>
      <c r="Z5" s="41"/>
      <c r="AA5" s="2"/>
    </row>
    <row r="6" spans="5:28" x14ac:dyDescent="0.25">
      <c r="E6" s="49"/>
      <c r="F6" s="49" t="s">
        <v>123</v>
      </c>
      <c r="G6" s="57">
        <f>HLOOKUP(Invoer!$I$5,Bezetting,7)</f>
        <v>1.9335882186585043</v>
      </c>
      <c r="H6" s="49" t="s">
        <v>122</v>
      </c>
      <c r="I6" s="49"/>
      <c r="J6" s="49"/>
      <c r="K6" s="49"/>
      <c r="L6" s="47"/>
      <c r="M6" s="47"/>
      <c r="N6" s="243">
        <v>1</v>
      </c>
      <c r="O6" s="47" t="s">
        <v>124</v>
      </c>
      <c r="P6" s="47"/>
      <c r="Q6" s="244">
        <v>1</v>
      </c>
      <c r="R6" s="47" t="s">
        <v>125</v>
      </c>
      <c r="S6" s="47"/>
      <c r="T6" s="47"/>
      <c r="U6" s="47"/>
      <c r="V6" s="47"/>
      <c r="W6" s="47"/>
      <c r="X6" s="7">
        <v>1</v>
      </c>
      <c r="Y6" s="1" t="s">
        <v>119</v>
      </c>
      <c r="Z6" s="1">
        <v>0.42</v>
      </c>
      <c r="AA6" s="2" t="s">
        <v>126</v>
      </c>
      <c r="AB6" s="1">
        <v>2025</v>
      </c>
    </row>
    <row r="7" spans="5:28" x14ac:dyDescent="0.25">
      <c r="E7" s="49"/>
      <c r="F7" s="49" t="s">
        <v>127</v>
      </c>
      <c r="G7" s="57">
        <f>HLOOKUP(Invoer!$I$5,Bezetting,8)</f>
        <v>18.290911866476694</v>
      </c>
      <c r="H7" s="49" t="s">
        <v>128</v>
      </c>
      <c r="I7" s="49"/>
      <c r="J7" s="49"/>
      <c r="K7" s="49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7">
        <v>1</v>
      </c>
      <c r="Y7" s="1" t="s">
        <v>129</v>
      </c>
      <c r="Z7" s="7">
        <v>37.44</v>
      </c>
      <c r="AA7" s="2" t="s">
        <v>126</v>
      </c>
      <c r="AB7" s="1">
        <v>2023</v>
      </c>
    </row>
    <row r="8" spans="5:28" x14ac:dyDescent="0.25">
      <c r="E8" s="47"/>
      <c r="F8" s="49" t="s">
        <v>130</v>
      </c>
      <c r="G8" s="51">
        <f>G9+G16</f>
        <v>3740.5491031619354</v>
      </c>
      <c r="H8" s="49" t="s">
        <v>131</v>
      </c>
      <c r="I8" s="47"/>
      <c r="J8" s="47"/>
      <c r="K8" s="47" t="s">
        <v>132</v>
      </c>
      <c r="L8" s="47"/>
      <c r="M8" s="47"/>
      <c r="N8" s="47"/>
      <c r="O8" s="47"/>
      <c r="P8" s="47" t="s">
        <v>133</v>
      </c>
      <c r="Q8" s="47"/>
      <c r="R8" s="47"/>
      <c r="S8" s="47"/>
      <c r="T8" s="47"/>
      <c r="U8" s="47" t="s">
        <v>134</v>
      </c>
      <c r="V8" s="47"/>
      <c r="W8" s="47"/>
      <c r="AA8" s="2"/>
    </row>
    <row r="9" spans="5:28" x14ac:dyDescent="0.25">
      <c r="E9" s="47"/>
      <c r="F9" s="58" t="s">
        <v>135</v>
      </c>
      <c r="G9" s="52">
        <f>J31+J36+J49+J67+J94</f>
        <v>2308.4044521374876</v>
      </c>
      <c r="H9" s="49" t="s">
        <v>131</v>
      </c>
      <c r="I9" s="47"/>
      <c r="J9" s="47"/>
      <c r="K9" s="56">
        <f>G9/Invoer!$I$5</f>
        <v>26.231868774289634</v>
      </c>
      <c r="L9" s="47" t="s">
        <v>136</v>
      </c>
      <c r="M9" s="47" t="s">
        <v>137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7">
        <v>1</v>
      </c>
      <c r="Y9" s="1" t="s">
        <v>138</v>
      </c>
      <c r="Z9" s="41">
        <f>1000*Z4</f>
        <v>277.77777777777777</v>
      </c>
      <c r="AA9" s="2" t="s">
        <v>119</v>
      </c>
    </row>
    <row r="10" spans="5:28" x14ac:dyDescent="0.25">
      <c r="E10" s="47"/>
      <c r="F10" s="59" t="s">
        <v>139</v>
      </c>
      <c r="G10" s="52"/>
      <c r="H10" s="49"/>
      <c r="I10" s="48">
        <f>J31</f>
        <v>414.77357851726208</v>
      </c>
      <c r="J10" s="47" t="s">
        <v>131</v>
      </c>
      <c r="K10" s="56">
        <f>I10/Invoer!$I$5</f>
        <v>4.7133361195143415</v>
      </c>
      <c r="L10" s="47" t="s">
        <v>140</v>
      </c>
      <c r="M10" s="47" t="s">
        <v>141</v>
      </c>
      <c r="N10" s="47"/>
      <c r="O10" s="246">
        <f>input_GrootteApartement_value*Resultaten!Q10</f>
        <v>0</v>
      </c>
      <c r="P10" s="246" t="s">
        <v>142</v>
      </c>
      <c r="Q10" s="244">
        <f>VLOOKUP(KoudeWarmte_value,inkoop_tabel,2)*$K$10</f>
        <v>0</v>
      </c>
      <c r="R10" s="246" t="s">
        <v>143</v>
      </c>
      <c r="S10" s="248">
        <f>input_GrootteApartement_value*Resultaten!U10</f>
        <v>4.6529087333667221</v>
      </c>
      <c r="T10" s="48" t="s">
        <v>144</v>
      </c>
      <c r="U10" s="248">
        <f>VLOOKUP(KoudeWarmte_value,inkoop_tabel,4)*$K$10</f>
        <v>5.2873962879167291E-2</v>
      </c>
      <c r="V10" s="47" t="s">
        <v>145</v>
      </c>
      <c r="W10" s="47"/>
      <c r="X10" s="7">
        <v>1</v>
      </c>
      <c r="Y10" s="1" t="s">
        <v>146</v>
      </c>
      <c r="Z10" s="7">
        <f>Z7/Z6</f>
        <v>89.142857142857139</v>
      </c>
      <c r="AA10" s="2" t="s">
        <v>147</v>
      </c>
    </row>
    <row r="11" spans="5:28" x14ac:dyDescent="0.25">
      <c r="E11" s="47"/>
      <c r="F11" s="59" t="s">
        <v>148</v>
      </c>
      <c r="G11" s="52"/>
      <c r="H11" s="49"/>
      <c r="I11" s="48">
        <f>J36</f>
        <v>256.04412888044737</v>
      </c>
      <c r="J11" s="47" t="s">
        <v>131</v>
      </c>
      <c r="K11" s="56">
        <f>I11/Invoer!$I$5</f>
        <v>2.9095923736414475</v>
      </c>
      <c r="L11" s="47"/>
      <c r="M11" s="47" t="s">
        <v>149</v>
      </c>
      <c r="N11" s="47"/>
      <c r="O11" s="246"/>
      <c r="P11" s="246"/>
      <c r="Q11" s="244"/>
      <c r="R11" s="246"/>
      <c r="S11" s="248"/>
      <c r="T11" s="48"/>
      <c r="U11" s="248"/>
      <c r="V11" s="47"/>
      <c r="W11" s="47"/>
    </row>
    <row r="12" spans="5:28" x14ac:dyDescent="0.25">
      <c r="E12" s="47"/>
      <c r="F12" s="59" t="s">
        <v>150</v>
      </c>
      <c r="G12" s="52"/>
      <c r="H12" s="49"/>
      <c r="I12" s="48">
        <f>J49</f>
        <v>594.19834240925263</v>
      </c>
      <c r="J12" s="47" t="s">
        <v>131</v>
      </c>
      <c r="K12" s="56">
        <f>I12/Invoer!$I$5</f>
        <v>6.7522538910142345</v>
      </c>
      <c r="L12" s="47"/>
      <c r="M12" s="47" t="s">
        <v>151</v>
      </c>
      <c r="N12" s="47"/>
      <c r="O12" s="246"/>
      <c r="P12" s="246"/>
      <c r="Q12" s="244"/>
      <c r="R12" s="246"/>
      <c r="S12" s="248"/>
      <c r="T12" s="48"/>
      <c r="U12" s="248"/>
      <c r="V12" s="47"/>
      <c r="W12" s="47"/>
    </row>
    <row r="13" spans="5:28" x14ac:dyDescent="0.25">
      <c r="E13" s="47"/>
      <c r="F13" s="59" t="s">
        <v>152</v>
      </c>
      <c r="G13" s="52"/>
      <c r="H13" s="49"/>
      <c r="I13" s="48">
        <f>J67</f>
        <v>91.985939783377503</v>
      </c>
      <c r="J13" s="47" t="s">
        <v>131</v>
      </c>
      <c r="K13" s="56">
        <f>I13/Invoer!$I$5</f>
        <v>1.0452947702656534</v>
      </c>
      <c r="L13" s="47"/>
      <c r="M13" s="47" t="s">
        <v>153</v>
      </c>
      <c r="N13" s="47"/>
      <c r="O13" s="246"/>
      <c r="P13" s="246"/>
      <c r="Q13" s="244"/>
      <c r="R13" s="246"/>
      <c r="S13" s="248"/>
      <c r="T13" s="48"/>
      <c r="U13" s="248"/>
      <c r="V13" s="47"/>
      <c r="W13" s="47"/>
    </row>
    <row r="14" spans="5:28" x14ac:dyDescent="0.25">
      <c r="E14" s="47"/>
      <c r="F14" s="59" t="s">
        <v>154</v>
      </c>
      <c r="G14" s="52"/>
      <c r="H14" s="49"/>
      <c r="I14" s="48">
        <f>J94</f>
        <v>951.40246254714805</v>
      </c>
      <c r="J14" s="47" t="s">
        <v>131</v>
      </c>
      <c r="K14" s="56">
        <f>I14/Invoer!$I$5</f>
        <v>10.811391619853955</v>
      </c>
      <c r="L14" s="47" t="s">
        <v>140</v>
      </c>
      <c r="M14" s="47" t="s">
        <v>155</v>
      </c>
      <c r="N14" s="47"/>
      <c r="O14" s="246">
        <f>input_GrootteApartement_value*Resultaten!Q14</f>
        <v>0</v>
      </c>
      <c r="P14" s="246" t="s">
        <v>142</v>
      </c>
      <c r="Q14" s="244">
        <f>VLOOKUP(KoudeWarmte_value,inkoop_tabel,3)*$K$14</f>
        <v>0</v>
      </c>
      <c r="R14" s="246" t="s">
        <v>143</v>
      </c>
      <c r="S14" s="248">
        <f>input_GrootteApartement_value*Resultaten!U14</f>
        <v>10.672784034984032</v>
      </c>
      <c r="T14" s="48" t="s">
        <v>144</v>
      </c>
      <c r="U14" s="248">
        <f>VLOOKUP(KoudeWarmte_value,inkoop_tabel,5)*$K$14</f>
        <v>0.12128163676118218</v>
      </c>
      <c r="V14" s="47" t="s">
        <v>145</v>
      </c>
      <c r="W14" s="47"/>
      <c r="X14" s="7">
        <v>1</v>
      </c>
      <c r="Y14" s="1" t="s">
        <v>129</v>
      </c>
      <c r="Z14" s="7">
        <f>1000/32</f>
        <v>31.25</v>
      </c>
      <c r="AA14" s="1" t="s">
        <v>156</v>
      </c>
    </row>
    <row r="15" spans="5:28" x14ac:dyDescent="0.25">
      <c r="E15" s="47"/>
      <c r="F15" s="58"/>
      <c r="G15" s="52"/>
      <c r="H15" s="49"/>
      <c r="I15" s="48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1">
        <v>1</v>
      </c>
      <c r="Y15" s="1" t="s">
        <v>157</v>
      </c>
      <c r="Z15" s="1">
        <f>64/(1000/32)</f>
        <v>2.048</v>
      </c>
      <c r="AA15" s="1" t="s">
        <v>126</v>
      </c>
    </row>
    <row r="16" spans="5:28" x14ac:dyDescent="0.25">
      <c r="E16" s="47"/>
      <c r="F16" s="58" t="s">
        <v>158</v>
      </c>
      <c r="G16" s="52">
        <f>J21+J23</f>
        <v>1432.1446510244477</v>
      </c>
      <c r="H16" s="49" t="s">
        <v>131</v>
      </c>
      <c r="I16" s="48"/>
      <c r="J16" s="47"/>
      <c r="K16" s="56">
        <f>G16/Invoer!$I$5</f>
        <v>16.274371034368723</v>
      </c>
      <c r="L16" s="47" t="s">
        <v>136</v>
      </c>
      <c r="M16" s="47" t="s">
        <v>159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</row>
    <row r="17" spans="5:24" x14ac:dyDescent="0.25">
      <c r="E17" s="47"/>
      <c r="F17" s="59" t="s">
        <v>160</v>
      </c>
      <c r="G17" s="52"/>
      <c r="H17" s="49"/>
      <c r="I17" s="48">
        <f>J21</f>
        <v>721.4297673496319</v>
      </c>
      <c r="J17" s="47" t="s">
        <v>131</v>
      </c>
      <c r="K17" s="56">
        <f>I17/Invoer!$I$5</f>
        <v>8.1980655380639984</v>
      </c>
      <c r="L17" s="47"/>
      <c r="M17" s="47" t="s">
        <v>161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</row>
    <row r="18" spans="5:24" x14ac:dyDescent="0.25">
      <c r="E18" s="47"/>
      <c r="F18" s="59" t="s">
        <v>162</v>
      </c>
      <c r="G18" s="52"/>
      <c r="H18" s="49"/>
      <c r="I18" s="48">
        <f>J23</f>
        <v>710.71488367481595</v>
      </c>
      <c r="J18" s="47" t="s">
        <v>131</v>
      </c>
      <c r="K18" s="56">
        <f>I18/Invoer!$I$5</f>
        <v>8.0763054963047267</v>
      </c>
      <c r="L18" s="47"/>
      <c r="M18" s="47" t="s">
        <v>163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</row>
    <row r="19" spans="5:24" x14ac:dyDescent="0.25"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</row>
    <row r="21" spans="5:24" x14ac:dyDescent="0.25">
      <c r="E21" s="49"/>
      <c r="F21" s="50" t="s">
        <v>164</v>
      </c>
      <c r="G21" s="47"/>
      <c r="H21" s="47"/>
      <c r="I21" s="49"/>
      <c r="J21" s="51">
        <f>Coeefficienten!F6+Coeefficienten!F8*(Resultaten!G5-1)^0.5</f>
        <v>721.4297673496319</v>
      </c>
      <c r="K21" s="49" t="s">
        <v>131</v>
      </c>
      <c r="S21" s="32">
        <f>IF((S10+S14)&gt;0,(S14+S10)*Z14,0)</f>
        <v>478.92789901096103</v>
      </c>
      <c r="T21" t="s">
        <v>165</v>
      </c>
    </row>
    <row r="22" spans="5:24" x14ac:dyDescent="0.25">
      <c r="G22" s="42"/>
      <c r="S22" s="41">
        <f>S21*Z15</f>
        <v>980.84433717444824</v>
      </c>
      <c r="T22" t="s">
        <v>166</v>
      </c>
    </row>
    <row r="23" spans="5:24" x14ac:dyDescent="0.25">
      <c r="E23" s="49"/>
      <c r="F23" s="50" t="s">
        <v>162</v>
      </c>
      <c r="G23" s="47"/>
      <c r="H23" s="47"/>
      <c r="I23" s="49"/>
      <c r="J23" s="51">
        <f>Coeefficienten!F9+Coeefficienten!F11*(Resultaten!G5-1)^0.5</f>
        <v>710.71488367481595</v>
      </c>
      <c r="K23" s="49" t="s">
        <v>131</v>
      </c>
      <c r="S23" s="41">
        <f>S22/Z6</f>
        <v>2335.3436599391625</v>
      </c>
      <c r="T23" t="s">
        <v>167</v>
      </c>
      <c r="W23" s="41">
        <f>(output_TotaalEnergieVerwarming_value+output_TotaalEnergieWarmtapwater_value)</f>
        <v>1366.1760410644101</v>
      </c>
      <c r="X23" t="s">
        <v>119</v>
      </c>
    </row>
    <row r="24" spans="5:24" x14ac:dyDescent="0.25">
      <c r="G24" s="42"/>
    </row>
    <row r="25" spans="5:24" x14ac:dyDescent="0.25">
      <c r="E25" s="49"/>
      <c r="F25" s="49" t="s">
        <v>168</v>
      </c>
      <c r="G25" s="53"/>
      <c r="H25" s="49"/>
      <c r="I25" s="49"/>
      <c r="J25" s="49"/>
      <c r="K25" s="49"/>
    </row>
    <row r="26" spans="5:24" x14ac:dyDescent="0.25">
      <c r="E26" s="60"/>
      <c r="F26" s="61" t="s">
        <v>169</v>
      </c>
      <c r="G26" s="62">
        <f>Coeefficienten!F13+Coeefficienten!F14*(Resultaten!G5)^0.95</f>
        <v>1910.7944847525921</v>
      </c>
      <c r="H26" s="60" t="s">
        <v>131</v>
      </c>
      <c r="I26" s="60" t="s">
        <v>170</v>
      </c>
      <c r="J26" s="60"/>
      <c r="K26" s="60"/>
    </row>
    <row r="27" spans="5:24" x14ac:dyDescent="0.25">
      <c r="E27" s="60"/>
      <c r="F27" s="61" t="s">
        <v>171</v>
      </c>
      <c r="G27" s="62">
        <f>VLOOKUP(Invoer!F24,douche_reductie,3)*G26</f>
        <v>573.23834542577765</v>
      </c>
      <c r="H27" s="60" t="s">
        <v>131</v>
      </c>
      <c r="I27" s="60" t="s">
        <v>170</v>
      </c>
      <c r="J27" s="60"/>
      <c r="K27" s="60"/>
    </row>
    <row r="28" spans="5:24" x14ac:dyDescent="0.25">
      <c r="E28" s="60"/>
      <c r="F28" s="61" t="s">
        <v>172</v>
      </c>
      <c r="G28" s="62">
        <f>VLOOKUP(Invoer!F23,Zon_reductie,3)*Invoer!I23</f>
        <v>350</v>
      </c>
      <c r="H28" s="60" t="s">
        <v>131</v>
      </c>
      <c r="I28" s="60" t="s">
        <v>170</v>
      </c>
      <c r="J28" s="60"/>
      <c r="K28" s="60"/>
    </row>
    <row r="29" spans="5:24" x14ac:dyDescent="0.25">
      <c r="E29" s="60"/>
      <c r="F29" s="60"/>
      <c r="G29" s="63"/>
      <c r="H29" s="60"/>
      <c r="I29" s="60"/>
      <c r="J29" s="60"/>
      <c r="K29" s="60"/>
    </row>
    <row r="30" spans="5:24" x14ac:dyDescent="0.25">
      <c r="E30" s="60"/>
      <c r="F30" s="61" t="s">
        <v>173</v>
      </c>
      <c r="G30" s="62">
        <f>G26-G27-G28</f>
        <v>987.55613932681445</v>
      </c>
      <c r="H30" s="60" t="s">
        <v>131</v>
      </c>
      <c r="I30" s="65" t="s">
        <v>174</v>
      </c>
      <c r="J30" s="60"/>
      <c r="K30" s="60"/>
      <c r="N30" s="32">
        <f>G30*3.6/35</f>
        <v>101.57720290218663</v>
      </c>
      <c r="O30" t="s">
        <v>175</v>
      </c>
    </row>
    <row r="31" spans="5:24" x14ac:dyDescent="0.25">
      <c r="E31" s="49"/>
      <c r="F31" s="50" t="s">
        <v>176</v>
      </c>
      <c r="G31" s="47"/>
      <c r="H31" s="47"/>
      <c r="I31" s="58" t="s">
        <v>177</v>
      </c>
      <c r="J31" s="51">
        <f>G30/VLOOKUP(Invoer!F22,COP_,3)</f>
        <v>414.77357851726208</v>
      </c>
      <c r="K31" s="49" t="s">
        <v>131</v>
      </c>
    </row>
    <row r="33" spans="5:11" x14ac:dyDescent="0.25">
      <c r="E33" s="49"/>
      <c r="F33" s="49" t="s">
        <v>148</v>
      </c>
      <c r="G33" s="53"/>
      <c r="H33" s="49"/>
      <c r="I33" s="49"/>
      <c r="J33" s="49"/>
      <c r="K33" s="49"/>
    </row>
    <row r="34" spans="5:11" x14ac:dyDescent="0.25">
      <c r="E34" s="60"/>
      <c r="F34" s="61" t="s">
        <v>178</v>
      </c>
      <c r="G34" s="64">
        <f>Invoer!I5*(Coeefficienten!F64+Coeefficienten!F65*(50/Invoer!I5)^0.25)+Coeefficienten!F66*(Resultaten!G5-1)</f>
        <v>402.41190881792335</v>
      </c>
      <c r="H34" s="60" t="s">
        <v>131</v>
      </c>
      <c r="I34" s="60"/>
      <c r="J34" s="60"/>
      <c r="K34" s="60"/>
    </row>
    <row r="35" spans="5:11" x14ac:dyDescent="0.25">
      <c r="E35" s="60"/>
      <c r="F35" s="61" t="s">
        <v>179</v>
      </c>
      <c r="G35" s="68">
        <f>+(1-Coeefficienten!H82)</f>
        <v>0.63627373661125408</v>
      </c>
      <c r="H35" s="60"/>
      <c r="I35" s="60"/>
      <c r="J35" s="60"/>
      <c r="K35" s="60"/>
    </row>
    <row r="36" spans="5:11" x14ac:dyDescent="0.25">
      <c r="E36" s="49"/>
      <c r="F36" s="50" t="s">
        <v>180</v>
      </c>
      <c r="G36" s="47"/>
      <c r="H36" s="47"/>
      <c r="I36" s="49"/>
      <c r="J36" s="51">
        <f>G35*G34</f>
        <v>256.04412888044737</v>
      </c>
      <c r="K36" s="49" t="s">
        <v>131</v>
      </c>
    </row>
    <row r="39" spans="5:11" x14ac:dyDescent="0.25">
      <c r="E39" s="47"/>
      <c r="F39" s="54" t="s">
        <v>150</v>
      </c>
      <c r="G39" s="46"/>
      <c r="H39" s="46"/>
      <c r="I39" s="46"/>
      <c r="J39" s="47"/>
      <c r="K39" s="47"/>
    </row>
    <row r="40" spans="5:11" x14ac:dyDescent="0.25">
      <c r="E40" s="60"/>
      <c r="F40" s="61" t="s">
        <v>181</v>
      </c>
      <c r="G40" s="67">
        <f>HLOOKUP(Invoer!$I$5,ventilatie_tabel,11)</f>
        <v>30.703487339220459</v>
      </c>
      <c r="H40" s="60" t="s">
        <v>182</v>
      </c>
      <c r="I40" s="60" t="s">
        <v>183</v>
      </c>
      <c r="J40" s="60"/>
      <c r="K40" s="60"/>
    </row>
    <row r="41" spans="5:11" x14ac:dyDescent="0.25">
      <c r="E41" s="60"/>
      <c r="F41" s="60"/>
      <c r="G41" s="67">
        <f>HLOOKUP(Invoer!$I$5,ventilatie_tabel,4)</f>
        <v>76.5</v>
      </c>
      <c r="H41" s="60" t="s">
        <v>184</v>
      </c>
      <c r="I41" s="60" t="s">
        <v>185</v>
      </c>
      <c r="J41" s="60"/>
      <c r="K41" s="60"/>
    </row>
    <row r="42" spans="5:11" x14ac:dyDescent="0.25">
      <c r="E42" s="60"/>
      <c r="F42" s="61" t="s">
        <v>186</v>
      </c>
      <c r="G42" s="67">
        <f>Uren_factor</f>
        <v>1.4822530864197532</v>
      </c>
      <c r="H42" s="60"/>
      <c r="I42" s="60"/>
      <c r="J42" s="60"/>
      <c r="K42" s="60"/>
    </row>
    <row r="43" spans="5:11" x14ac:dyDescent="0.25">
      <c r="E43" s="60"/>
      <c r="F43" s="61" t="s">
        <v>187</v>
      </c>
      <c r="G43" s="67">
        <f>IF(Invoer!F25=1,Resultaten!G41,MIN(G41,Resultaten!G42*G40))</f>
        <v>45.510338872409342</v>
      </c>
      <c r="H43" s="60" t="s">
        <v>188</v>
      </c>
      <c r="I43" s="60"/>
      <c r="J43" s="60"/>
      <c r="K43" s="60"/>
    </row>
    <row r="44" spans="5:11" x14ac:dyDescent="0.25">
      <c r="E44" s="60"/>
      <c r="F44" s="61" t="s">
        <v>189</v>
      </c>
      <c r="G44" s="65">
        <f>VLOOKUP(Invoer!F21,Vent_coef,3)</f>
        <v>150</v>
      </c>
      <c r="H44" s="60" t="s">
        <v>190</v>
      </c>
      <c r="I44" s="60"/>
      <c r="J44" s="60"/>
      <c r="K44" s="60"/>
    </row>
    <row r="45" spans="5:11" x14ac:dyDescent="0.25">
      <c r="E45" s="60"/>
      <c r="F45" s="61" t="s">
        <v>191</v>
      </c>
      <c r="G45" s="65">
        <f>VLOOKUP(Invoer!F21,Vent_coef,4)</f>
        <v>750</v>
      </c>
      <c r="H45" s="60" t="s">
        <v>190</v>
      </c>
      <c r="I45" s="60"/>
      <c r="J45" s="60"/>
      <c r="K45" s="60"/>
    </row>
    <row r="46" spans="5:11" x14ac:dyDescent="0.25">
      <c r="E46" s="60"/>
      <c r="F46" s="61" t="s">
        <v>192</v>
      </c>
      <c r="G46" s="64">
        <f>G44+(G43/G41)*G45</f>
        <v>596.17979286675836</v>
      </c>
      <c r="H46" s="60" t="s">
        <v>190</v>
      </c>
      <c r="I46" s="60"/>
      <c r="J46" s="60"/>
      <c r="K46" s="60"/>
    </row>
    <row r="47" spans="5:11" x14ac:dyDescent="0.25">
      <c r="E47" s="60"/>
      <c r="F47" s="61" t="s">
        <v>193</v>
      </c>
      <c r="G47" s="62">
        <f>24*365</f>
        <v>8760</v>
      </c>
      <c r="H47" s="60" t="s">
        <v>128</v>
      </c>
      <c r="I47" s="60"/>
      <c r="J47" s="60"/>
      <c r="K47" s="60"/>
    </row>
    <row r="48" spans="5:11" x14ac:dyDescent="0.25">
      <c r="E48" s="60"/>
      <c r="F48" s="61" t="s">
        <v>194</v>
      </c>
      <c r="G48" s="67">
        <f>G43/1000*G46/0.4</f>
        <v>67.830861005622452</v>
      </c>
      <c r="H48" s="60" t="s">
        <v>195</v>
      </c>
      <c r="I48" s="60"/>
      <c r="J48" s="60"/>
      <c r="K48" s="60"/>
    </row>
    <row r="49" spans="5:17" x14ac:dyDescent="0.25">
      <c r="E49" s="47"/>
      <c r="F49" s="50" t="s">
        <v>150</v>
      </c>
      <c r="G49" s="47"/>
      <c r="H49" s="47"/>
      <c r="I49" s="49"/>
      <c r="J49" s="55">
        <f>G48*G47/1000</f>
        <v>594.19834240925263</v>
      </c>
      <c r="K49" s="49" t="s">
        <v>131</v>
      </c>
    </row>
    <row r="51" spans="5:17" x14ac:dyDescent="0.25">
      <c r="E51" s="47"/>
      <c r="F51" s="54" t="s">
        <v>152</v>
      </c>
      <c r="G51" s="46"/>
      <c r="H51" s="46"/>
      <c r="I51" s="46"/>
      <c r="J51" s="47"/>
      <c r="K51" s="47"/>
    </row>
    <row r="52" spans="5:17" x14ac:dyDescent="0.25">
      <c r="E52" s="60"/>
      <c r="F52" s="70" t="s">
        <v>196</v>
      </c>
      <c r="G52" s="71">
        <f>VLOOKUP(Invoer!F4,Koel_tabel,3)</f>
        <v>9.6999999999999993</v>
      </c>
      <c r="H52" s="72" t="s">
        <v>197</v>
      </c>
      <c r="I52" s="60"/>
      <c r="J52" s="60"/>
      <c r="K52" s="60"/>
      <c r="Q52" s="205"/>
    </row>
    <row r="53" spans="5:17" x14ac:dyDescent="0.25">
      <c r="E53" s="60"/>
      <c r="F53" s="70" t="s">
        <v>198</v>
      </c>
      <c r="G53" s="71">
        <f>VLOOKUP(Invoer!$F$4,Koel_orientatie,Invoer!$F$6+2)*G52-G52</f>
        <v>0</v>
      </c>
      <c r="H53" s="72" t="s">
        <v>197</v>
      </c>
      <c r="I53" s="60" t="s">
        <v>199</v>
      </c>
      <c r="J53" s="60"/>
      <c r="K53" s="60"/>
      <c r="Q53" s="205"/>
    </row>
    <row r="54" spans="5:17" x14ac:dyDescent="0.25">
      <c r="E54" s="60"/>
      <c r="F54" s="70" t="s">
        <v>200</v>
      </c>
      <c r="G54" s="71">
        <f>HLOOKUP(IF(Invoer!I8*Invoer!I12/Invoer!I5&lt;0.01, 0.01, Invoer!I8*Invoer!I12/Invoer!I5), Coeefficienten!O93:AC98, Invoer!F4+1)*SUM(G52:G53)-SUM(G52:G53)</f>
        <v>-6.1563827492031944</v>
      </c>
      <c r="H54" s="72" t="s">
        <v>197</v>
      </c>
      <c r="I54" s="60"/>
      <c r="J54" s="60"/>
      <c r="K54" s="60"/>
      <c r="Q54" s="205"/>
    </row>
    <row r="55" spans="5:17" x14ac:dyDescent="0.25">
      <c r="E55" s="60"/>
      <c r="F55" s="61" t="s">
        <v>201</v>
      </c>
      <c r="G55" s="66"/>
      <c r="H55" s="60"/>
      <c r="I55" s="62">
        <f>Invoer!M46</f>
        <v>775</v>
      </c>
      <c r="J55" s="60" t="s">
        <v>202</v>
      </c>
      <c r="K55" s="60"/>
      <c r="Q55" s="205"/>
    </row>
    <row r="56" spans="5:17" x14ac:dyDescent="0.25">
      <c r="E56" s="60"/>
      <c r="F56" s="70" t="s">
        <v>203</v>
      </c>
      <c r="G56" s="71">
        <f>(I55/700-1)*(G52+G53+G54)*Coeefficienten!F132</f>
        <v>0.1518693107484346</v>
      </c>
      <c r="H56" s="72" t="s">
        <v>197</v>
      </c>
      <c r="I56" s="60"/>
      <c r="J56" s="60"/>
      <c r="K56" s="60"/>
      <c r="N56" s="205"/>
      <c r="Q56" s="205"/>
    </row>
    <row r="57" spans="5:17" x14ac:dyDescent="0.25">
      <c r="E57" s="60"/>
      <c r="F57" s="70" t="s">
        <v>204</v>
      </c>
      <c r="G57" s="71">
        <f>VLOOKUP(Invoer!F16,Massa_K,4)*SUM(G52:G56)-SUM(G52:G56)</f>
        <v>0</v>
      </c>
      <c r="H57" s="72" t="s">
        <v>197</v>
      </c>
      <c r="I57" s="60" t="s">
        <v>205</v>
      </c>
      <c r="J57" s="60"/>
      <c r="K57" s="60"/>
      <c r="Q57" s="205"/>
    </row>
    <row r="58" spans="5:17" x14ac:dyDescent="0.25">
      <c r="E58" s="60"/>
      <c r="F58" s="70" t="s">
        <v>206</v>
      </c>
      <c r="G58" s="71">
        <f>VLOOKUP(Invoer!F14,Coeefficienten!D121:F123,3)*SUM(G52:G57)</f>
        <v>-0.36954865615452398</v>
      </c>
      <c r="H58" s="72" t="s">
        <v>197</v>
      </c>
      <c r="I58" s="60"/>
      <c r="J58" s="60"/>
      <c r="K58" s="60"/>
      <c r="Q58" s="205"/>
    </row>
    <row r="59" spans="5:17" x14ac:dyDescent="0.25">
      <c r="E59" s="60"/>
      <c r="F59" s="70" t="s">
        <v>207</v>
      </c>
      <c r="G59" s="71">
        <f>-VLOOKUP(Invoer!F21,Coeefficienten!D126:F129,3)*SUM(G52:G58)</f>
        <v>0.33259379053907157</v>
      </c>
      <c r="H59" s="72" t="s">
        <v>197</v>
      </c>
      <c r="I59" s="60"/>
      <c r="J59" s="60"/>
      <c r="K59" s="60"/>
      <c r="Q59" s="205"/>
    </row>
    <row r="60" spans="5:17" x14ac:dyDescent="0.25">
      <c r="E60" s="60"/>
      <c r="F60" s="61" t="s">
        <v>208</v>
      </c>
      <c r="G60" s="66"/>
      <c r="H60" s="60"/>
      <c r="I60" s="65">
        <f>(Invoer!M43-LocatieGegevensTgemZomer_value)</f>
        <v>0</v>
      </c>
      <c r="J60" s="69" t="s">
        <v>87</v>
      </c>
      <c r="K60" s="60"/>
      <c r="Q60" s="205"/>
    </row>
    <row r="61" spans="5:17" x14ac:dyDescent="0.25">
      <c r="E61" s="60"/>
      <c r="F61" s="61" t="s">
        <v>209</v>
      </c>
      <c r="G61" s="66"/>
      <c r="H61" s="60"/>
      <c r="I61" s="68">
        <f>Coeefficienten!F133*(Coeefficienten!J137*Resultaten!I60)</f>
        <v>0</v>
      </c>
      <c r="J61" s="60"/>
      <c r="K61" s="60"/>
      <c r="Q61" s="205"/>
    </row>
    <row r="62" spans="5:17" x14ac:dyDescent="0.25">
      <c r="E62" s="60"/>
      <c r="F62" s="61" t="s">
        <v>210</v>
      </c>
      <c r="G62" s="66"/>
      <c r="H62" s="60"/>
      <c r="I62" s="68">
        <f>1-10^(-input_Vloerhoogte_value*0.03)*(Invoer!F41-1)*UrbanHeaIslandTgemWinter_value</f>
        <v>1</v>
      </c>
      <c r="J62" s="60"/>
      <c r="K62" s="60"/>
      <c r="Q62" s="205"/>
    </row>
    <row r="63" spans="5:17" x14ac:dyDescent="0.25">
      <c r="E63" s="60"/>
      <c r="F63" s="70" t="s">
        <v>211</v>
      </c>
      <c r="G63" s="71">
        <f>I61*I62*SUM(G52:G59)</f>
        <v>0</v>
      </c>
      <c r="H63" s="72" t="s">
        <v>197</v>
      </c>
      <c r="I63" s="60"/>
      <c r="J63" s="60"/>
      <c r="K63" s="60"/>
      <c r="Q63" s="205"/>
    </row>
    <row r="64" spans="5:17" x14ac:dyDescent="0.25">
      <c r="E64" s="60"/>
      <c r="F64" s="60"/>
      <c r="G64" s="60"/>
      <c r="H64" s="60"/>
      <c r="I64" s="60"/>
      <c r="J64" s="60"/>
      <c r="K64" s="60"/>
      <c r="Q64" s="205"/>
    </row>
    <row r="65" spans="5:19" x14ac:dyDescent="0.25">
      <c r="E65" s="60"/>
      <c r="F65" s="61" t="s">
        <v>212</v>
      </c>
      <c r="G65" s="66">
        <f>MAX(0,SUM(G52:G63))</f>
        <v>3.6585316959297871</v>
      </c>
      <c r="H65" s="60" t="s">
        <v>213</v>
      </c>
      <c r="I65" s="60"/>
      <c r="J65" s="60"/>
      <c r="K65" s="60"/>
      <c r="Q65" s="205"/>
    </row>
    <row r="66" spans="5:19" x14ac:dyDescent="0.25">
      <c r="E66" s="60"/>
      <c r="F66" s="60"/>
      <c r="G66" s="64">
        <f>G65*Invoer!I5</f>
        <v>321.95078924182127</v>
      </c>
      <c r="H66" s="60" t="s">
        <v>131</v>
      </c>
      <c r="I66" s="65" t="s">
        <v>214</v>
      </c>
      <c r="J66" s="60"/>
      <c r="K66" s="60"/>
      <c r="Q66" s="205"/>
    </row>
    <row r="67" spans="5:19" x14ac:dyDescent="0.25">
      <c r="E67" s="47"/>
      <c r="F67" s="50" t="s">
        <v>152</v>
      </c>
      <c r="G67" s="47"/>
      <c r="H67" s="47"/>
      <c r="I67" s="58" t="s">
        <v>177</v>
      </c>
      <c r="J67" s="55">
        <f>G66/VLOOKUP(Invoer!F22,COP_,5)</f>
        <v>91.985939783377503</v>
      </c>
      <c r="K67" s="49" t="s">
        <v>131</v>
      </c>
      <c r="Q67" s="205"/>
    </row>
    <row r="68" spans="5:19" x14ac:dyDescent="0.25">
      <c r="E68" s="253"/>
      <c r="F68" s="253"/>
      <c r="G68" s="253"/>
      <c r="H68" s="253"/>
      <c r="I68" s="253"/>
      <c r="J68" s="253"/>
      <c r="K68" s="253"/>
      <c r="O68" t="s">
        <v>152</v>
      </c>
      <c r="P68" s="41">
        <v>1600</v>
      </c>
      <c r="Q68" s="205" t="s">
        <v>128</v>
      </c>
    </row>
    <row r="69" spans="5:19" x14ac:dyDescent="0.25">
      <c r="E69" s="253"/>
      <c r="F69" s="258" t="str">
        <f>IF(Ventilatiesysteem_value=3,"Passiv House",IF(Ventilatiesysteem_value=2,"Dwarsventilatie",""))</f>
        <v>Passiv House</v>
      </c>
      <c r="G69" s="255">
        <f>IF(Ventilatiesysteem_value=3,G65,IF(Ventilatiesysteem_value=2,Resultaten!G65,0))</f>
        <v>3.6585316959297871</v>
      </c>
      <c r="H69" s="253" t="s">
        <v>215</v>
      </c>
      <c r="I69" s="253"/>
      <c r="J69" s="253"/>
      <c r="K69" s="253"/>
      <c r="P69" s="33">
        <f>G69/P68*1000</f>
        <v>2.2865823099561169</v>
      </c>
      <c r="Q69" t="s">
        <v>216</v>
      </c>
    </row>
    <row r="70" spans="5:19" x14ac:dyDescent="0.25">
      <c r="E70" s="253"/>
      <c r="F70" s="260" t="s">
        <v>217</v>
      </c>
      <c r="G70" s="255">
        <f>G71/S70</f>
        <v>3.5370345588338448</v>
      </c>
      <c r="H70" s="256" t="s">
        <v>87</v>
      </c>
      <c r="I70" s="253" t="s">
        <v>218</v>
      </c>
      <c r="J70" s="253"/>
      <c r="K70" s="253"/>
      <c r="P70" s="5">
        <f>P69*input_GrootteApartement_value</f>
        <v>201.21924327613829</v>
      </c>
      <c r="Q70" s="205" t="s">
        <v>219</v>
      </c>
      <c r="S70" s="261">
        <f>IF(Ventilatiesysteem_value=2,0.5,IF(Ventilatiesysteem_value=3,0.7,1))</f>
        <v>0.7</v>
      </c>
    </row>
    <row r="71" spans="5:19" x14ac:dyDescent="0.25">
      <c r="E71" s="253"/>
      <c r="F71" s="258" t="s">
        <v>220</v>
      </c>
      <c r="G71" s="255">
        <f>P72</f>
        <v>2.4759241911836911</v>
      </c>
      <c r="H71" s="256" t="s">
        <v>87</v>
      </c>
      <c r="I71" s="253"/>
      <c r="J71" s="253"/>
      <c r="K71" s="253"/>
      <c r="P71" s="33">
        <f>SUM('Basis waarden en tabellen'!I76:I79)</f>
        <v>56.889249999999997</v>
      </c>
      <c r="Q71" s="262" t="s">
        <v>221</v>
      </c>
    </row>
    <row r="72" spans="5:19" x14ac:dyDescent="0.25">
      <c r="E72" s="253"/>
      <c r="F72" s="258" t="s">
        <v>222</v>
      </c>
      <c r="G72" s="255">
        <f>23+G71</f>
        <v>25.47592419118369</v>
      </c>
      <c r="H72" s="256" t="s">
        <v>87</v>
      </c>
      <c r="I72" s="253"/>
      <c r="J72" s="253"/>
      <c r="K72" s="253"/>
      <c r="N72" s="36"/>
      <c r="P72" s="5">
        <f>P70/P71*S70</f>
        <v>2.4759241911836911</v>
      </c>
      <c r="Q72" s="43" t="s">
        <v>223</v>
      </c>
      <c r="R72" s="7">
        <v>23</v>
      </c>
      <c r="S72" s="43" t="s">
        <v>87</v>
      </c>
    </row>
    <row r="73" spans="5:19" x14ac:dyDescent="0.25">
      <c r="E73" s="253"/>
      <c r="F73" s="253" t="s">
        <v>224</v>
      </c>
      <c r="G73" s="255">
        <f>G72+1.45*G71</f>
        <v>29.066014268400043</v>
      </c>
      <c r="H73" s="256" t="s">
        <v>87</v>
      </c>
      <c r="I73" s="253"/>
      <c r="J73" s="253"/>
      <c r="K73" s="253"/>
      <c r="Q73" s="205"/>
    </row>
    <row r="74" spans="5:19" x14ac:dyDescent="0.25">
      <c r="E74" s="253"/>
      <c r="F74" s="253"/>
      <c r="G74" s="253"/>
      <c r="H74" s="253"/>
      <c r="I74" s="253"/>
      <c r="J74" s="253"/>
      <c r="K74" s="253"/>
      <c r="Q74" s="205"/>
    </row>
    <row r="75" spans="5:19" x14ac:dyDescent="0.25">
      <c r="E75" s="47"/>
      <c r="F75" s="50" t="s">
        <v>152</v>
      </c>
      <c r="G75" s="47"/>
      <c r="H75" s="47"/>
      <c r="I75" s="58" t="s">
        <v>177</v>
      </c>
      <c r="J75" s="55">
        <f>IF(Ventilatiesysteem_value=2,0,IF(Ventilatiesysteem_value=3,0,Resultaten!J67))</f>
        <v>0</v>
      </c>
      <c r="K75" s="49" t="s">
        <v>131</v>
      </c>
      <c r="Q75" s="205"/>
    </row>
    <row r="76" spans="5:19" x14ac:dyDescent="0.25">
      <c r="Q76" s="205"/>
    </row>
    <row r="77" spans="5:19" x14ac:dyDescent="0.25">
      <c r="Q77" s="205"/>
    </row>
    <row r="78" spans="5:19" x14ac:dyDescent="0.25">
      <c r="Q78" s="205"/>
    </row>
    <row r="79" spans="5:19" x14ac:dyDescent="0.25">
      <c r="E79" s="47"/>
      <c r="F79" s="54" t="s">
        <v>154</v>
      </c>
      <c r="G79" s="46"/>
      <c r="H79" s="46"/>
      <c r="I79" s="46"/>
      <c r="J79" s="47"/>
      <c r="K79" s="47"/>
      <c r="Q79" s="205"/>
    </row>
    <row r="80" spans="5:19" x14ac:dyDescent="0.25">
      <c r="E80" s="60"/>
      <c r="F80" s="70" t="s">
        <v>225</v>
      </c>
      <c r="G80" s="71">
        <f>'Basis waarden en tabellen'!D68</f>
        <v>135.49299999999999</v>
      </c>
      <c r="H80" s="72" t="s">
        <v>197</v>
      </c>
      <c r="I80" s="72"/>
      <c r="J80" s="60"/>
      <c r="K80" s="60"/>
      <c r="Q80" s="205"/>
    </row>
    <row r="81" spans="5:17" x14ac:dyDescent="0.25">
      <c r="E81" s="60"/>
      <c r="F81" s="61" t="s">
        <v>226</v>
      </c>
      <c r="G81" s="68">
        <f>VLOOKUP(Invoer!F21,Vent_coef,6)</f>
        <v>0.9</v>
      </c>
      <c r="H81" s="60"/>
      <c r="I81" s="60"/>
      <c r="J81" s="60"/>
      <c r="K81" s="60"/>
      <c r="Q81" s="205"/>
    </row>
    <row r="82" spans="5:17" x14ac:dyDescent="0.25">
      <c r="E82" s="60"/>
      <c r="F82" s="61" t="s">
        <v>227</v>
      </c>
      <c r="G82" s="68">
        <f>G43/'Basis waarden en tabellen'!L81</f>
        <v>0.59490639048901106</v>
      </c>
      <c r="H82" s="60"/>
      <c r="I82" s="60"/>
      <c r="J82" s="60"/>
      <c r="K82" s="60"/>
      <c r="Q82" s="205"/>
    </row>
    <row r="83" spans="5:17" x14ac:dyDescent="0.25">
      <c r="E83" s="60"/>
      <c r="F83" s="70" t="s">
        <v>228</v>
      </c>
      <c r="G83" s="71">
        <f>-('Basis waarden en tabellen'!I81-(1-G81)*(1-G82)*'Basis waarden en tabellen'!I79)</f>
        <v>-77.688035895700395</v>
      </c>
      <c r="H83" s="72" t="s">
        <v>197</v>
      </c>
      <c r="I83" s="235" t="s">
        <v>229</v>
      </c>
      <c r="J83" s="233">
        <f>'Basis waarden en tabellen'!D71</f>
        <v>78.603749999999991</v>
      </c>
      <c r="K83" s="234" t="s">
        <v>230</v>
      </c>
    </row>
    <row r="84" spans="5:17" x14ac:dyDescent="0.25">
      <c r="E84" s="60"/>
      <c r="F84" s="61" t="s">
        <v>231</v>
      </c>
      <c r="G84" s="230">
        <f>VLOOKUP(Ventilatiesysteem_value,Red_inf,3)</f>
        <v>0.6</v>
      </c>
      <c r="H84" s="72"/>
      <c r="I84" s="61"/>
      <c r="J84" s="233"/>
      <c r="K84" s="60"/>
    </row>
    <row r="85" spans="5:17" x14ac:dyDescent="0.25">
      <c r="E85" s="60"/>
      <c r="F85" s="70" t="s">
        <v>232</v>
      </c>
      <c r="G85" s="71">
        <f>-G84*'Basis waarden en tabellen'!D70</f>
        <v>-13.562999999999997</v>
      </c>
      <c r="H85" s="72" t="s">
        <v>197</v>
      </c>
      <c r="I85" s="235" t="s">
        <v>229</v>
      </c>
      <c r="J85" s="233">
        <f>'Basis waarden en tabellen'!D70</f>
        <v>22.604999999999997</v>
      </c>
      <c r="K85" s="234" t="s">
        <v>230</v>
      </c>
    </row>
    <row r="86" spans="5:17" x14ac:dyDescent="0.25">
      <c r="E86" s="60"/>
      <c r="F86" s="73" t="s">
        <v>233</v>
      </c>
      <c r="G86" s="71">
        <f>'Basis waarden en tabellen'!D72</f>
        <v>-8.2152804855997132</v>
      </c>
      <c r="H86" s="72" t="s">
        <v>197</v>
      </c>
      <c r="I86" s="61"/>
      <c r="J86" s="233"/>
      <c r="K86" s="60"/>
    </row>
    <row r="87" spans="5:17" x14ac:dyDescent="0.25">
      <c r="E87" s="60"/>
      <c r="F87" s="61" t="s">
        <v>234</v>
      </c>
      <c r="G87" s="68">
        <f>VLOOKUP(Ventilatiesysteem_value,Red_Tr,3)</f>
        <v>0.3</v>
      </c>
      <c r="H87" s="60"/>
      <c r="I87" s="61"/>
      <c r="J87" s="233"/>
      <c r="K87" s="60"/>
    </row>
    <row r="88" spans="5:17" x14ac:dyDescent="0.25">
      <c r="E88" s="60"/>
      <c r="F88" s="61" t="s">
        <v>235</v>
      </c>
      <c r="G88" s="68">
        <f>Red_dT</f>
        <v>0</v>
      </c>
      <c r="H88" s="60"/>
      <c r="I88" s="61"/>
      <c r="J88" s="233"/>
      <c r="K88" s="60"/>
    </row>
    <row r="89" spans="5:17" x14ac:dyDescent="0.25">
      <c r="E89" s="60"/>
      <c r="F89" s="61" t="s">
        <v>236</v>
      </c>
      <c r="G89" s="68">
        <f>-(VLOOKUP(ConstructieWijze_value,Massa_W,4)-1)</f>
        <v>0</v>
      </c>
      <c r="H89" s="60"/>
      <c r="I89" s="61"/>
      <c r="J89" s="233"/>
      <c r="K89" s="60"/>
    </row>
    <row r="90" spans="5:17" x14ac:dyDescent="0.25">
      <c r="E90" s="60"/>
      <c r="F90" s="70" t="s">
        <v>237</v>
      </c>
      <c r="G90" s="71">
        <f>-(G87+G88+G89)*J90</f>
        <v>-10.285275</v>
      </c>
      <c r="H90" s="72" t="s">
        <v>197</v>
      </c>
      <c r="I90" s="235" t="s">
        <v>229</v>
      </c>
      <c r="J90" s="233">
        <f>'Basis waarden en tabellen'!D69</f>
        <v>34.28425</v>
      </c>
      <c r="K90" s="234" t="s">
        <v>230</v>
      </c>
    </row>
    <row r="91" spans="5:17" x14ac:dyDescent="0.25">
      <c r="E91" s="60"/>
      <c r="F91" s="60"/>
      <c r="G91" s="60"/>
      <c r="H91" s="60"/>
      <c r="I91" s="60"/>
      <c r="J91" s="60"/>
      <c r="K91" s="60"/>
    </row>
    <row r="92" spans="5:17" x14ac:dyDescent="0.25">
      <c r="E92" s="60"/>
      <c r="F92" s="61" t="s">
        <v>238</v>
      </c>
      <c r="G92" s="66">
        <f>G80+G83+G85+G86+G90</f>
        <v>25.741408618699893</v>
      </c>
      <c r="H92" s="60" t="s">
        <v>213</v>
      </c>
      <c r="I92" s="60"/>
      <c r="J92" s="60"/>
      <c r="K92" s="60"/>
    </row>
    <row r="93" spans="5:17" x14ac:dyDescent="0.25">
      <c r="E93" s="60"/>
      <c r="F93" s="60"/>
      <c r="G93" s="62">
        <f>G92*Invoer!I5</f>
        <v>2265.2439584455906</v>
      </c>
      <c r="H93" s="60" t="s">
        <v>131</v>
      </c>
      <c r="I93" s="65" t="s">
        <v>174</v>
      </c>
      <c r="J93" s="60"/>
      <c r="K93" s="60"/>
      <c r="N93" s="32">
        <f>G93*3.6/35</f>
        <v>232.9965214401179</v>
      </c>
      <c r="O93" t="s">
        <v>175</v>
      </c>
    </row>
    <row r="94" spans="5:17" x14ac:dyDescent="0.25">
      <c r="E94" s="47"/>
      <c r="F94" s="50" t="s">
        <v>154</v>
      </c>
      <c r="G94" s="47"/>
      <c r="H94" s="47"/>
      <c r="I94" s="58" t="s">
        <v>177</v>
      </c>
      <c r="J94" s="55">
        <f>G93/VLOOKUP(Invoer!F22,COP_,4)</f>
        <v>951.40246254714805</v>
      </c>
      <c r="K94" s="49" t="s">
        <v>131</v>
      </c>
      <c r="N94" t="s">
        <v>239</v>
      </c>
    </row>
    <row r="95" spans="5:17" x14ac:dyDescent="0.25">
      <c r="E95" s="253"/>
      <c r="F95" s="253"/>
      <c r="G95" s="253"/>
      <c r="H95" s="253"/>
      <c r="I95" s="253"/>
      <c r="J95" s="253"/>
      <c r="K95" s="253"/>
    </row>
    <row r="96" spans="5:17" x14ac:dyDescent="0.25">
      <c r="E96" s="253"/>
      <c r="F96" s="254" t="str">
        <f>IF(Ventilatiesysteem_value=3,"Passiv House","")</f>
        <v>Passiv House</v>
      </c>
      <c r="G96" s="255">
        <f>IF(Ventilatiesysteem_value=3,G92,0)</f>
        <v>25.741408618699893</v>
      </c>
      <c r="H96" s="253" t="s">
        <v>240</v>
      </c>
      <c r="I96" s="253"/>
      <c r="J96" s="253"/>
      <c r="K96" s="253"/>
    </row>
    <row r="97" spans="5:11" x14ac:dyDescent="0.25">
      <c r="E97" s="253"/>
      <c r="F97" s="257" t="s">
        <v>241</v>
      </c>
      <c r="G97" s="255">
        <f>'Basis waarden en tabellen'!G76</f>
        <v>13.7</v>
      </c>
      <c r="H97" s="256" t="s">
        <v>87</v>
      </c>
      <c r="I97" s="253"/>
      <c r="J97" s="253"/>
      <c r="K97" s="253"/>
    </row>
    <row r="98" spans="5:11" x14ac:dyDescent="0.25">
      <c r="E98" s="253"/>
      <c r="F98" s="258" t="s">
        <v>242</v>
      </c>
      <c r="G98" s="259">
        <f>G96/G80*G97</f>
        <v>2.6027713466835078</v>
      </c>
      <c r="H98" s="256" t="s">
        <v>87</v>
      </c>
      <c r="I98" s="253"/>
      <c r="J98" s="253"/>
      <c r="K98" s="253"/>
    </row>
    <row r="99" spans="5:11" x14ac:dyDescent="0.25">
      <c r="E99" s="253"/>
      <c r="F99" s="258" t="s">
        <v>243</v>
      </c>
      <c r="G99" s="259">
        <f>(G97+Invoer!K32-Resultaten!G98)</f>
        <v>19.397228653316493</v>
      </c>
      <c r="H99" s="256" t="s">
        <v>87</v>
      </c>
      <c r="I99" s="253"/>
      <c r="J99" s="253"/>
      <c r="K99" s="253"/>
    </row>
    <row r="100" spans="5:11" x14ac:dyDescent="0.25">
      <c r="E100" s="253"/>
      <c r="F100" s="253" t="s">
        <v>244</v>
      </c>
      <c r="G100" s="255">
        <f>G99-1.25*G98</f>
        <v>16.143764469962107</v>
      </c>
      <c r="H100" s="256" t="s">
        <v>87</v>
      </c>
      <c r="I100" s="253"/>
      <c r="J100" s="253"/>
      <c r="K100" s="253"/>
    </row>
    <row r="101" spans="5:11" x14ac:dyDescent="0.25">
      <c r="E101" s="253"/>
      <c r="F101" s="253"/>
      <c r="G101" s="253"/>
      <c r="H101" s="253"/>
      <c r="I101" s="253"/>
      <c r="J101" s="253"/>
      <c r="K101" s="253"/>
    </row>
    <row r="102" spans="5:11" x14ac:dyDescent="0.25">
      <c r="E102" s="47"/>
      <c r="F102" s="50" t="s">
        <v>154</v>
      </c>
      <c r="G102" s="47"/>
      <c r="H102" s="47"/>
      <c r="I102" s="58" t="s">
        <v>177</v>
      </c>
      <c r="J102" s="55">
        <f>IF(Ventilatiesysteem_value=3,0,Resultaten!J94)</f>
        <v>0</v>
      </c>
      <c r="K102" s="49" t="s">
        <v>131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9318-A6AD-4E3A-BB0C-925469091232}">
  <dimension ref="B2:R77"/>
  <sheetViews>
    <sheetView workbookViewId="0">
      <selection activeCell="D43" sqref="D43"/>
    </sheetView>
  </sheetViews>
  <sheetFormatPr defaultRowHeight="15" x14ac:dyDescent="0.25"/>
  <cols>
    <col min="2" max="2" width="9.140625" style="1"/>
    <col min="3" max="3" width="26.85546875" customWidth="1"/>
    <col min="4" max="11" width="10.7109375" customWidth="1"/>
    <col min="12" max="12" width="6.85546875" customWidth="1"/>
    <col min="13" max="16" width="10.7109375" customWidth="1"/>
    <col min="18" max="18" width="11" bestFit="1" customWidth="1"/>
  </cols>
  <sheetData>
    <row r="2" spans="2:16" x14ac:dyDescent="0.25">
      <c r="B2" s="1" t="s">
        <v>50</v>
      </c>
      <c r="G2" t="s">
        <v>58</v>
      </c>
    </row>
    <row r="3" spans="2:16" x14ac:dyDescent="0.25">
      <c r="C3" s="38" t="s">
        <v>245</v>
      </c>
      <c r="F3" t="s">
        <v>246</v>
      </c>
      <c r="N3" t="s">
        <v>247</v>
      </c>
      <c r="O3" s="1"/>
      <c r="P3" t="s">
        <v>248</v>
      </c>
    </row>
    <row r="4" spans="2:16" x14ac:dyDescent="0.25">
      <c r="B4" s="79">
        <v>1</v>
      </c>
      <c r="C4" t="s">
        <v>249</v>
      </c>
      <c r="D4" s="79" t="s">
        <v>250</v>
      </c>
      <c r="I4" t="s">
        <v>251</v>
      </c>
      <c r="N4" t="s">
        <v>252</v>
      </c>
      <c r="P4" t="s">
        <v>253</v>
      </c>
    </row>
    <row r="5" spans="2:16" x14ac:dyDescent="0.25">
      <c r="B5" s="79">
        <v>2</v>
      </c>
      <c r="C5" t="s">
        <v>254</v>
      </c>
      <c r="D5" s="79" t="s">
        <v>250</v>
      </c>
      <c r="I5" t="s">
        <v>255</v>
      </c>
      <c r="N5" t="s">
        <v>252</v>
      </c>
    </row>
    <row r="6" spans="2:16" x14ac:dyDescent="0.25">
      <c r="B6" s="79">
        <v>3</v>
      </c>
      <c r="C6" t="s">
        <v>256</v>
      </c>
      <c r="D6" s="79" t="s">
        <v>250</v>
      </c>
    </row>
    <row r="7" spans="2:16" x14ac:dyDescent="0.25">
      <c r="B7" s="79">
        <v>4</v>
      </c>
      <c r="C7" t="s">
        <v>257</v>
      </c>
      <c r="D7" s="79" t="s">
        <v>250</v>
      </c>
      <c r="I7" t="s">
        <v>258</v>
      </c>
      <c r="N7" t="s">
        <v>252</v>
      </c>
    </row>
    <row r="8" spans="2:16" x14ac:dyDescent="0.25">
      <c r="B8" s="79">
        <v>5</v>
      </c>
      <c r="C8" t="s">
        <v>259</v>
      </c>
      <c r="D8" s="79" t="s">
        <v>250</v>
      </c>
      <c r="I8" t="s">
        <v>260</v>
      </c>
      <c r="N8" t="s">
        <v>252</v>
      </c>
    </row>
    <row r="11" spans="2:16" x14ac:dyDescent="0.25">
      <c r="C11" s="39" t="s">
        <v>58</v>
      </c>
      <c r="D11" s="79">
        <v>1</v>
      </c>
      <c r="E11" s="79">
        <v>2</v>
      </c>
      <c r="F11" s="79">
        <v>3</v>
      </c>
      <c r="G11" s="79">
        <v>4</v>
      </c>
      <c r="H11" s="79">
        <v>5</v>
      </c>
      <c r="I11" s="79">
        <v>5</v>
      </c>
      <c r="J11" s="79">
        <v>6</v>
      </c>
      <c r="K11" s="79">
        <v>7</v>
      </c>
      <c r="L11" t="s">
        <v>261</v>
      </c>
    </row>
    <row r="12" spans="2:16" x14ac:dyDescent="0.25">
      <c r="B12" s="1">
        <v>1</v>
      </c>
      <c r="C12" t="s">
        <v>249</v>
      </c>
      <c r="D12" s="1" t="s">
        <v>262</v>
      </c>
      <c r="E12" s="1" t="s">
        <v>263</v>
      </c>
      <c r="F12" s="1" t="s">
        <v>264</v>
      </c>
      <c r="G12" s="1" t="s">
        <v>265</v>
      </c>
      <c r="H12" s="1" t="s">
        <v>266</v>
      </c>
      <c r="I12" s="1" t="s">
        <v>267</v>
      </c>
      <c r="J12" s="1" t="s">
        <v>268</v>
      </c>
      <c r="K12" s="1" t="s">
        <v>269</v>
      </c>
      <c r="L12" s="2" t="s">
        <v>270</v>
      </c>
    </row>
    <row r="13" spans="2:16" x14ac:dyDescent="0.25">
      <c r="B13" s="1">
        <v>2</v>
      </c>
      <c r="C13" t="s">
        <v>254</v>
      </c>
      <c r="D13" s="1" t="s">
        <v>262</v>
      </c>
      <c r="E13" s="1" t="s">
        <v>263</v>
      </c>
      <c r="F13" s="1" t="s">
        <v>264</v>
      </c>
      <c r="G13" s="1" t="s">
        <v>265</v>
      </c>
      <c r="H13" s="1" t="s">
        <v>266</v>
      </c>
      <c r="I13" s="1" t="s">
        <v>267</v>
      </c>
      <c r="J13" s="1" t="s">
        <v>268</v>
      </c>
      <c r="K13" s="1" t="s">
        <v>269</v>
      </c>
      <c r="L13" s="2" t="s">
        <v>270</v>
      </c>
    </row>
    <row r="14" spans="2:16" x14ac:dyDescent="0.25">
      <c r="B14" s="1">
        <v>3</v>
      </c>
      <c r="C14" t="s">
        <v>256</v>
      </c>
      <c r="D14" s="1" t="s">
        <v>262</v>
      </c>
      <c r="E14" s="1" t="s">
        <v>263</v>
      </c>
      <c r="F14" s="1" t="s">
        <v>264</v>
      </c>
      <c r="G14" s="1" t="s">
        <v>265</v>
      </c>
      <c r="H14" s="1" t="s">
        <v>266</v>
      </c>
      <c r="I14" s="1" t="s">
        <v>267</v>
      </c>
      <c r="J14" s="1" t="s">
        <v>268</v>
      </c>
      <c r="K14" s="1" t="s">
        <v>269</v>
      </c>
      <c r="L14" s="2" t="s">
        <v>271</v>
      </c>
    </row>
    <row r="15" spans="2:16" x14ac:dyDescent="0.25">
      <c r="B15" s="1">
        <v>4</v>
      </c>
      <c r="C15" t="s">
        <v>259</v>
      </c>
      <c r="D15" s="1" t="s">
        <v>272</v>
      </c>
      <c r="E15" s="1" t="s">
        <v>273</v>
      </c>
      <c r="F15" s="1" t="s">
        <v>274</v>
      </c>
      <c r="G15" s="1" t="s">
        <v>275</v>
      </c>
      <c r="H15" s="1" t="s">
        <v>276</v>
      </c>
      <c r="I15" s="1" t="s">
        <v>277</v>
      </c>
      <c r="J15" s="1" t="s">
        <v>278</v>
      </c>
      <c r="K15" s="1" t="s">
        <v>279</v>
      </c>
      <c r="L15" s="2" t="s">
        <v>280</v>
      </c>
    </row>
    <row r="16" spans="2:16" x14ac:dyDescent="0.25">
      <c r="B16" s="1">
        <v>5</v>
      </c>
      <c r="C16" t="s">
        <v>257</v>
      </c>
      <c r="D16" s="1" t="s">
        <v>272</v>
      </c>
      <c r="E16" s="1" t="s">
        <v>273</v>
      </c>
      <c r="F16" s="1" t="s">
        <v>274</v>
      </c>
      <c r="G16" s="1" t="s">
        <v>275</v>
      </c>
      <c r="H16" s="1" t="s">
        <v>276</v>
      </c>
      <c r="I16" s="1" t="s">
        <v>277</v>
      </c>
      <c r="J16" s="1" t="s">
        <v>278</v>
      </c>
      <c r="K16" s="1" t="s">
        <v>279</v>
      </c>
      <c r="L16" s="2" t="s">
        <v>280</v>
      </c>
    </row>
    <row r="19" spans="2:18" x14ac:dyDescent="0.25">
      <c r="C19" s="38" t="s">
        <v>281</v>
      </c>
      <c r="D19" s="1" t="s">
        <v>262</v>
      </c>
      <c r="E19" s="1" t="s">
        <v>263</v>
      </c>
      <c r="F19" s="1" t="s">
        <v>264</v>
      </c>
      <c r="G19" s="1" t="s">
        <v>265</v>
      </c>
      <c r="H19" s="1" t="s">
        <v>266</v>
      </c>
      <c r="I19" s="1" t="s">
        <v>267</v>
      </c>
      <c r="J19" s="1" t="s">
        <v>268</v>
      </c>
      <c r="K19" s="1" t="s">
        <v>269</v>
      </c>
      <c r="L19" s="1"/>
      <c r="M19" s="1"/>
      <c r="N19" s="1"/>
      <c r="O19" s="1"/>
      <c r="P19" s="38" t="s">
        <v>281</v>
      </c>
      <c r="R19" t="s">
        <v>282</v>
      </c>
    </row>
    <row r="20" spans="2:18" x14ac:dyDescent="0.25">
      <c r="B20" s="1">
        <v>1</v>
      </c>
      <c r="C20" t="s">
        <v>249</v>
      </c>
      <c r="D20" s="80" t="s">
        <v>283</v>
      </c>
      <c r="E20" s="80" t="s">
        <v>283</v>
      </c>
      <c r="F20" s="80" t="s">
        <v>283</v>
      </c>
      <c r="G20" s="80" t="s">
        <v>283</v>
      </c>
      <c r="H20" s="80" t="s">
        <v>283</v>
      </c>
      <c r="I20" s="80" t="s">
        <v>283</v>
      </c>
      <c r="J20" s="80" t="s">
        <v>283</v>
      </c>
      <c r="K20" s="80" t="s">
        <v>283</v>
      </c>
      <c r="L20" s="80"/>
      <c r="M20" s="80" t="s">
        <v>284</v>
      </c>
      <c r="N20" s="3"/>
      <c r="O20" s="1">
        <v>1</v>
      </c>
      <c r="P20" t="s">
        <v>249</v>
      </c>
      <c r="R20" s="231">
        <v>1</v>
      </c>
    </row>
    <row r="21" spans="2:18" x14ac:dyDescent="0.25">
      <c r="B21" s="1">
        <v>2</v>
      </c>
      <c r="C21" t="s">
        <v>254</v>
      </c>
      <c r="D21" s="80" t="s">
        <v>283</v>
      </c>
      <c r="E21" s="80" t="s">
        <v>283</v>
      </c>
      <c r="F21" s="80" t="s">
        <v>283</v>
      </c>
      <c r="G21" s="80" t="s">
        <v>283</v>
      </c>
      <c r="H21" s="80" t="s">
        <v>283</v>
      </c>
      <c r="I21" s="80" t="s">
        <v>283</v>
      </c>
      <c r="J21" s="80" t="s">
        <v>283</v>
      </c>
      <c r="K21" s="80" t="s">
        <v>283</v>
      </c>
      <c r="L21" s="80"/>
      <c r="M21" s="80" t="s">
        <v>284</v>
      </c>
      <c r="N21" s="3"/>
      <c r="O21" s="1">
        <v>2</v>
      </c>
      <c r="P21" t="s">
        <v>254</v>
      </c>
      <c r="R21" s="231">
        <v>1</v>
      </c>
    </row>
    <row r="22" spans="2:18" x14ac:dyDescent="0.25">
      <c r="B22" s="1">
        <v>3</v>
      </c>
      <c r="C22" t="s">
        <v>256</v>
      </c>
      <c r="D22" s="80" t="s">
        <v>283</v>
      </c>
      <c r="E22" s="80" t="s">
        <v>283</v>
      </c>
      <c r="F22" s="80" t="s">
        <v>283</v>
      </c>
      <c r="G22" s="80" t="s">
        <v>283</v>
      </c>
      <c r="H22" s="80" t="s">
        <v>283</v>
      </c>
      <c r="I22" s="80" t="s">
        <v>283</v>
      </c>
      <c r="J22" s="80" t="s">
        <v>283</v>
      </c>
      <c r="K22" s="80" t="s">
        <v>283</v>
      </c>
      <c r="L22" s="80"/>
      <c r="M22" s="80" t="s">
        <v>284</v>
      </c>
      <c r="N22" s="3"/>
      <c r="O22" s="1">
        <v>3</v>
      </c>
      <c r="P22" t="s">
        <v>256</v>
      </c>
      <c r="R22" s="231">
        <v>0.8</v>
      </c>
    </row>
    <row r="23" spans="2:18" x14ac:dyDescent="0.25">
      <c r="B23" s="1">
        <v>4</v>
      </c>
      <c r="C23" t="s">
        <v>259</v>
      </c>
      <c r="D23" s="80" t="s">
        <v>283</v>
      </c>
      <c r="E23" s="80" t="s">
        <v>283</v>
      </c>
      <c r="F23" s="80" t="s">
        <v>283</v>
      </c>
      <c r="G23" s="80" t="s">
        <v>283</v>
      </c>
      <c r="H23" s="80" t="s">
        <v>283</v>
      </c>
      <c r="I23" s="80" t="s">
        <v>283</v>
      </c>
      <c r="J23" s="80" t="s">
        <v>283</v>
      </c>
      <c r="K23" s="80" t="s">
        <v>283</v>
      </c>
      <c r="L23" s="81"/>
      <c r="M23" s="80" t="s">
        <v>284</v>
      </c>
      <c r="N23" s="1"/>
      <c r="O23" s="1">
        <v>4</v>
      </c>
      <c r="P23" t="s">
        <v>259</v>
      </c>
      <c r="R23" s="231">
        <f>(10/36)/0.4*0.9</f>
        <v>0.625</v>
      </c>
    </row>
    <row r="24" spans="2:18" x14ac:dyDescent="0.25">
      <c r="B24" s="1">
        <v>5</v>
      </c>
      <c r="C24" t="s">
        <v>257</v>
      </c>
      <c r="D24" s="80" t="s">
        <v>283</v>
      </c>
      <c r="E24" s="80" t="s">
        <v>283</v>
      </c>
      <c r="F24" s="80" t="s">
        <v>283</v>
      </c>
      <c r="G24" s="80" t="s">
        <v>283</v>
      </c>
      <c r="H24" s="80" t="s">
        <v>283</v>
      </c>
      <c r="I24" s="80" t="s">
        <v>283</v>
      </c>
      <c r="J24" s="80" t="s">
        <v>283</v>
      </c>
      <c r="K24" s="80" t="s">
        <v>283</v>
      </c>
      <c r="L24" s="80"/>
      <c r="M24" s="80" t="s">
        <v>284</v>
      </c>
      <c r="N24" s="3"/>
      <c r="O24" s="1">
        <v>5</v>
      </c>
      <c r="P24" t="s">
        <v>257</v>
      </c>
      <c r="R24" s="272">
        <f>R23</f>
        <v>0.625</v>
      </c>
    </row>
    <row r="25" spans="2:18" x14ac:dyDescent="0.25">
      <c r="D25" s="1" t="s">
        <v>272</v>
      </c>
      <c r="E25" s="1" t="s">
        <v>273</v>
      </c>
      <c r="F25" s="1" t="s">
        <v>274</v>
      </c>
      <c r="G25" s="1" t="s">
        <v>275</v>
      </c>
      <c r="H25" s="1" t="s">
        <v>276</v>
      </c>
      <c r="I25" s="1" t="s">
        <v>277</v>
      </c>
      <c r="J25" s="1" t="s">
        <v>278</v>
      </c>
      <c r="K25" s="1" t="s">
        <v>279</v>
      </c>
      <c r="L25" s="3"/>
      <c r="N25" s="3"/>
      <c r="O25" s="3"/>
      <c r="P25" s="3"/>
    </row>
    <row r="28" spans="2:18" x14ac:dyDescent="0.25">
      <c r="C28" s="38" t="s">
        <v>285</v>
      </c>
      <c r="D28" s="1" t="s">
        <v>262</v>
      </c>
      <c r="E28" s="1" t="s">
        <v>263</v>
      </c>
      <c r="F28" s="1" t="s">
        <v>264</v>
      </c>
      <c r="G28" s="1" t="s">
        <v>265</v>
      </c>
      <c r="H28" s="1" t="s">
        <v>266</v>
      </c>
      <c r="I28" s="1" t="s">
        <v>267</v>
      </c>
      <c r="J28" s="1" t="s">
        <v>268</v>
      </c>
      <c r="K28" s="1" t="s">
        <v>269</v>
      </c>
      <c r="L28" s="1"/>
      <c r="M28" s="1"/>
      <c r="N28" s="1"/>
      <c r="O28" s="1"/>
      <c r="P28" s="1"/>
    </row>
    <row r="29" spans="2:18" x14ac:dyDescent="0.25">
      <c r="B29" s="1">
        <v>1</v>
      </c>
      <c r="C29" t="s">
        <v>249</v>
      </c>
      <c r="D29" s="80" t="s">
        <v>286</v>
      </c>
      <c r="E29" s="80" t="s">
        <v>286</v>
      </c>
      <c r="F29" s="80" t="s">
        <v>286</v>
      </c>
      <c r="G29" s="80" t="s">
        <v>286</v>
      </c>
      <c r="H29" s="80" t="s">
        <v>286</v>
      </c>
      <c r="I29" s="80" t="s">
        <v>286</v>
      </c>
      <c r="J29" s="80" t="s">
        <v>286</v>
      </c>
      <c r="K29" s="80" t="s">
        <v>286</v>
      </c>
      <c r="L29" s="80"/>
      <c r="M29" s="80" t="s">
        <v>284</v>
      </c>
      <c r="N29" s="80" t="s">
        <v>287</v>
      </c>
      <c r="O29" s="80" t="s">
        <v>288</v>
      </c>
      <c r="P29" s="3"/>
    </row>
    <row r="30" spans="2:18" x14ac:dyDescent="0.25">
      <c r="B30" s="1">
        <v>2</v>
      </c>
      <c r="C30" t="s">
        <v>254</v>
      </c>
      <c r="D30" s="80" t="s">
        <v>286</v>
      </c>
      <c r="E30" s="80" t="s">
        <v>286</v>
      </c>
      <c r="F30" s="80" t="s">
        <v>286</v>
      </c>
      <c r="G30" s="80" t="s">
        <v>286</v>
      </c>
      <c r="H30" s="80" t="s">
        <v>286</v>
      </c>
      <c r="I30" s="80" t="s">
        <v>286</v>
      </c>
      <c r="J30" s="80" t="s">
        <v>286</v>
      </c>
      <c r="K30" s="80" t="s">
        <v>286</v>
      </c>
      <c r="L30" s="80"/>
      <c r="M30" s="80" t="s">
        <v>284</v>
      </c>
      <c r="N30" s="80" t="s">
        <v>287</v>
      </c>
      <c r="O30" s="80" t="s">
        <v>288</v>
      </c>
      <c r="P30" s="3"/>
    </row>
    <row r="31" spans="2:18" x14ac:dyDescent="0.25">
      <c r="B31" s="1">
        <v>3</v>
      </c>
      <c r="C31" t="s">
        <v>256</v>
      </c>
      <c r="D31" s="80" t="s">
        <v>286</v>
      </c>
      <c r="E31" s="80" t="s">
        <v>286</v>
      </c>
      <c r="F31" s="80" t="s">
        <v>286</v>
      </c>
      <c r="G31" s="80" t="s">
        <v>286</v>
      </c>
      <c r="H31" s="80" t="s">
        <v>286</v>
      </c>
      <c r="I31" s="80" t="s">
        <v>286</v>
      </c>
      <c r="J31" s="80" t="s">
        <v>286</v>
      </c>
      <c r="K31" s="80" t="s">
        <v>286</v>
      </c>
      <c r="L31" s="80"/>
      <c r="M31" s="80" t="s">
        <v>284</v>
      </c>
      <c r="N31" s="80" t="s">
        <v>287</v>
      </c>
      <c r="O31" s="80" t="s">
        <v>288</v>
      </c>
      <c r="P31" s="3"/>
    </row>
    <row r="32" spans="2:18" x14ac:dyDescent="0.25">
      <c r="B32" s="1">
        <v>5</v>
      </c>
      <c r="C32" t="s">
        <v>259</v>
      </c>
      <c r="D32" s="80" t="s">
        <v>286</v>
      </c>
      <c r="E32" s="80" t="s">
        <v>286</v>
      </c>
      <c r="F32" s="80" t="s">
        <v>286</v>
      </c>
      <c r="G32" s="80" t="s">
        <v>286</v>
      </c>
      <c r="H32" s="80" t="s">
        <v>286</v>
      </c>
      <c r="I32" s="80" t="s">
        <v>286</v>
      </c>
      <c r="J32" s="80" t="s">
        <v>286</v>
      </c>
      <c r="K32" s="80" t="s">
        <v>286</v>
      </c>
      <c r="L32" s="80"/>
      <c r="M32" s="80" t="s">
        <v>284</v>
      </c>
      <c r="N32" s="80" t="s">
        <v>287</v>
      </c>
      <c r="O32" s="80" t="s">
        <v>288</v>
      </c>
      <c r="P32" s="3"/>
    </row>
    <row r="33" spans="2:16" x14ac:dyDescent="0.25">
      <c r="B33" s="1">
        <v>6</v>
      </c>
      <c r="C33" t="s">
        <v>257</v>
      </c>
      <c r="D33" s="80" t="s">
        <v>286</v>
      </c>
      <c r="E33" s="80" t="s">
        <v>286</v>
      </c>
      <c r="F33" s="80" t="s">
        <v>286</v>
      </c>
      <c r="G33" s="80" t="s">
        <v>286</v>
      </c>
      <c r="H33" s="80" t="s">
        <v>286</v>
      </c>
      <c r="I33" s="80" t="s">
        <v>286</v>
      </c>
      <c r="J33" s="80" t="s">
        <v>286</v>
      </c>
      <c r="K33" s="80" t="s">
        <v>286</v>
      </c>
      <c r="L33" s="80"/>
      <c r="M33" s="80" t="s">
        <v>284</v>
      </c>
      <c r="N33" s="80" t="s">
        <v>287</v>
      </c>
      <c r="O33" s="80" t="s">
        <v>288</v>
      </c>
      <c r="P33" s="3"/>
    </row>
    <row r="34" spans="2:16" x14ac:dyDescent="0.25">
      <c r="D34" s="1" t="s">
        <v>272</v>
      </c>
      <c r="E34" s="1" t="s">
        <v>273</v>
      </c>
      <c r="F34" s="1" t="s">
        <v>274</v>
      </c>
      <c r="G34" s="1" t="s">
        <v>275</v>
      </c>
      <c r="H34" s="1" t="s">
        <v>276</v>
      </c>
      <c r="I34" s="1" t="s">
        <v>277</v>
      </c>
      <c r="J34" s="1" t="s">
        <v>278</v>
      </c>
      <c r="K34" s="1" t="s">
        <v>279</v>
      </c>
    </row>
    <row r="35" spans="2:16" x14ac:dyDescent="0.25">
      <c r="C35" s="81" t="s">
        <v>28</v>
      </c>
    </row>
    <row r="36" spans="2:16" x14ac:dyDescent="0.25">
      <c r="B36" s="79">
        <v>1</v>
      </c>
      <c r="C36" t="s">
        <v>289</v>
      </c>
      <c r="D36" s="208"/>
    </row>
    <row r="37" spans="2:16" x14ac:dyDescent="0.25">
      <c r="B37" s="79">
        <v>2</v>
      </c>
      <c r="C37" t="s">
        <v>290</v>
      </c>
      <c r="D37" s="80" t="s">
        <v>284</v>
      </c>
    </row>
    <row r="38" spans="2:16" x14ac:dyDescent="0.25">
      <c r="B38" s="79">
        <v>3</v>
      </c>
      <c r="C38" t="s">
        <v>291</v>
      </c>
      <c r="D38" s="80" t="s">
        <v>284</v>
      </c>
    </row>
    <row r="40" spans="2:16" x14ac:dyDescent="0.25">
      <c r="D40" s="1"/>
      <c r="F40" t="s">
        <v>292</v>
      </c>
    </row>
    <row r="41" spans="2:16" x14ac:dyDescent="0.25">
      <c r="C41" s="38" t="s">
        <v>293</v>
      </c>
      <c r="D41" s="1"/>
      <c r="E41" s="1"/>
      <c r="F41" s="1" t="s">
        <v>294</v>
      </c>
      <c r="G41" s="1" t="s">
        <v>295</v>
      </c>
      <c r="H41" s="1" t="s">
        <v>296</v>
      </c>
      <c r="I41" s="1" t="s">
        <v>297</v>
      </c>
      <c r="J41" s="1" t="s">
        <v>298</v>
      </c>
      <c r="K41" s="1" t="s">
        <v>299</v>
      </c>
    </row>
    <row r="42" spans="2:16" x14ac:dyDescent="0.25">
      <c r="B42" s="79">
        <v>1</v>
      </c>
      <c r="C42" t="s">
        <v>300</v>
      </c>
      <c r="E42">
        <v>1</v>
      </c>
      <c r="F42" s="5">
        <v>0.3</v>
      </c>
      <c r="G42" s="5">
        <v>1.2</v>
      </c>
      <c r="H42" s="5">
        <v>0.25</v>
      </c>
      <c r="I42" s="5">
        <v>0.35</v>
      </c>
      <c r="J42" s="5">
        <v>0.1</v>
      </c>
      <c r="K42" s="6">
        <v>0.4</v>
      </c>
    </row>
    <row r="43" spans="2:16" x14ac:dyDescent="0.25">
      <c r="B43" s="79">
        <v>2</v>
      </c>
      <c r="C43" t="s">
        <v>301</v>
      </c>
      <c r="E43">
        <v>2</v>
      </c>
      <c r="F43" s="5">
        <v>0.05</v>
      </c>
      <c r="G43" s="5">
        <v>1.2</v>
      </c>
      <c r="H43" s="5">
        <v>0.25</v>
      </c>
      <c r="I43" s="5">
        <v>0.35</v>
      </c>
      <c r="J43" s="5">
        <v>0.1</v>
      </c>
      <c r="K43" s="6">
        <v>0.4</v>
      </c>
    </row>
    <row r="44" spans="2:16" x14ac:dyDescent="0.25">
      <c r="B44" s="79">
        <v>3</v>
      </c>
      <c r="C44" t="s">
        <v>302</v>
      </c>
      <c r="E44">
        <v>3</v>
      </c>
      <c r="F44" s="5">
        <v>0.2</v>
      </c>
      <c r="G44" s="5">
        <v>0.8</v>
      </c>
      <c r="H44" s="5">
        <v>0.2</v>
      </c>
      <c r="I44" s="5">
        <v>0.3</v>
      </c>
      <c r="J44" s="5">
        <v>0.05</v>
      </c>
      <c r="K44" s="6">
        <v>0.3</v>
      </c>
    </row>
    <row r="45" spans="2:16" x14ac:dyDescent="0.25">
      <c r="B45" s="79">
        <v>4</v>
      </c>
      <c r="C45" t="s">
        <v>303</v>
      </c>
      <c r="E45">
        <v>4</v>
      </c>
      <c r="F45" s="5">
        <v>0.35</v>
      </c>
      <c r="G45" s="5">
        <v>1</v>
      </c>
      <c r="H45" s="1">
        <v>0.25</v>
      </c>
      <c r="I45" s="1">
        <v>0.35</v>
      </c>
      <c r="J45" s="1">
        <v>0.12</v>
      </c>
      <c r="K45" s="6">
        <v>0.7</v>
      </c>
    </row>
    <row r="48" spans="2:16" x14ac:dyDescent="0.25">
      <c r="C48" s="38" t="s">
        <v>18</v>
      </c>
    </row>
    <row r="49" spans="2:3" x14ac:dyDescent="0.25">
      <c r="B49" s="79">
        <v>1</v>
      </c>
      <c r="C49" t="s">
        <v>304</v>
      </c>
    </row>
    <row r="50" spans="2:3" x14ac:dyDescent="0.25">
      <c r="B50" s="79">
        <v>2</v>
      </c>
      <c r="C50" t="s">
        <v>305</v>
      </c>
    </row>
    <row r="51" spans="2:3" x14ac:dyDescent="0.25">
      <c r="B51" s="79">
        <v>3</v>
      </c>
      <c r="C51" t="s">
        <v>306</v>
      </c>
    </row>
    <row r="52" spans="2:3" x14ac:dyDescent="0.25">
      <c r="B52" s="79">
        <v>4</v>
      </c>
      <c r="C52" t="s">
        <v>307</v>
      </c>
    </row>
    <row r="53" spans="2:3" x14ac:dyDescent="0.25">
      <c r="B53" s="79">
        <v>5</v>
      </c>
      <c r="C53" t="s">
        <v>308</v>
      </c>
    </row>
    <row r="55" spans="2:3" x14ac:dyDescent="0.25">
      <c r="C55" s="38" t="s">
        <v>309</v>
      </c>
    </row>
    <row r="56" spans="2:3" x14ac:dyDescent="0.25">
      <c r="B56" s="79">
        <v>1</v>
      </c>
      <c r="C56" t="s">
        <v>310</v>
      </c>
    </row>
    <row r="57" spans="2:3" x14ac:dyDescent="0.25">
      <c r="B57" s="79">
        <v>2</v>
      </c>
      <c r="C57" t="s">
        <v>311</v>
      </c>
    </row>
    <row r="58" spans="2:3" x14ac:dyDescent="0.25">
      <c r="B58" s="79">
        <v>3</v>
      </c>
      <c r="C58" t="s">
        <v>312</v>
      </c>
    </row>
    <row r="59" spans="2:3" x14ac:dyDescent="0.25">
      <c r="B59" s="79">
        <v>4</v>
      </c>
      <c r="C59" t="s">
        <v>313</v>
      </c>
    </row>
    <row r="60" spans="2:3" x14ac:dyDescent="0.25">
      <c r="B60" s="79">
        <v>5</v>
      </c>
      <c r="C60" t="s">
        <v>314</v>
      </c>
    </row>
    <row r="63" spans="2:3" x14ac:dyDescent="0.25">
      <c r="C63" s="38" t="s">
        <v>315</v>
      </c>
    </row>
    <row r="64" spans="2:3" x14ac:dyDescent="0.25">
      <c r="B64" s="79">
        <v>1</v>
      </c>
      <c r="C64" t="s">
        <v>316</v>
      </c>
    </row>
    <row r="65" spans="2:4" x14ac:dyDescent="0.25">
      <c r="B65" s="79">
        <v>2</v>
      </c>
      <c r="C65" t="s">
        <v>317</v>
      </c>
      <c r="D65" s="80" t="s">
        <v>318</v>
      </c>
    </row>
    <row r="66" spans="2:4" x14ac:dyDescent="0.25">
      <c r="B66" s="79">
        <v>3</v>
      </c>
      <c r="C66" t="s">
        <v>319</v>
      </c>
      <c r="D66" s="80" t="s">
        <v>318</v>
      </c>
    </row>
    <row r="67" spans="2:4" x14ac:dyDescent="0.25">
      <c r="B67" s="79">
        <v>4</v>
      </c>
      <c r="C67" t="s">
        <v>320</v>
      </c>
      <c r="D67" s="80" t="s">
        <v>318</v>
      </c>
    </row>
    <row r="69" spans="2:4" x14ac:dyDescent="0.25">
      <c r="C69" s="38" t="s">
        <v>321</v>
      </c>
    </row>
    <row r="70" spans="2:4" x14ac:dyDescent="0.25">
      <c r="B70" s="79">
        <v>1</v>
      </c>
      <c r="C70" t="s">
        <v>322</v>
      </c>
    </row>
    <row r="71" spans="2:4" x14ac:dyDescent="0.25">
      <c r="B71" s="79">
        <v>2</v>
      </c>
      <c r="C71" t="s">
        <v>34</v>
      </c>
    </row>
    <row r="72" spans="2:4" x14ac:dyDescent="0.25">
      <c r="B72" s="79">
        <v>3</v>
      </c>
      <c r="C72" t="s">
        <v>33</v>
      </c>
    </row>
    <row r="74" spans="2:4" x14ac:dyDescent="0.25">
      <c r="C74" s="38" t="s">
        <v>323</v>
      </c>
    </row>
    <row r="75" spans="2:4" x14ac:dyDescent="0.25">
      <c r="C75" s="81" t="s">
        <v>324</v>
      </c>
    </row>
    <row r="76" spans="2:4" x14ac:dyDescent="0.25">
      <c r="B76" s="79">
        <v>1</v>
      </c>
      <c r="C76" t="s">
        <v>325</v>
      </c>
    </row>
    <row r="77" spans="2:4" x14ac:dyDescent="0.25">
      <c r="B77" s="79">
        <v>2</v>
      </c>
      <c r="C77" t="s">
        <v>326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66F5-5EEE-4FAD-BB20-6ECFFE9CBCDF}">
  <dimension ref="B3:AC152"/>
  <sheetViews>
    <sheetView topLeftCell="C1" zoomScaleNormal="100" workbookViewId="0">
      <selection activeCell="I80" sqref="I80"/>
    </sheetView>
  </sheetViews>
  <sheetFormatPr defaultRowHeight="15" x14ac:dyDescent="0.25"/>
  <cols>
    <col min="2" max="2" width="10.7109375" style="85" customWidth="1"/>
    <col min="3" max="3" width="10.7109375" style="140" customWidth="1"/>
    <col min="4" max="4" width="9.140625" style="1"/>
    <col min="5" max="5" width="38.85546875" customWidth="1"/>
    <col min="14" max="14" width="9.140625" customWidth="1"/>
  </cols>
  <sheetData>
    <row r="3" spans="5:19" x14ac:dyDescent="0.25">
      <c r="E3" t="s">
        <v>327</v>
      </c>
    </row>
    <row r="5" spans="5:19" x14ac:dyDescent="0.25">
      <c r="E5" t="s">
        <v>328</v>
      </c>
    </row>
    <row r="6" spans="5:19" x14ac:dyDescent="0.25">
      <c r="E6" s="4" t="s">
        <v>164</v>
      </c>
      <c r="F6" s="140">
        <v>500</v>
      </c>
      <c r="G6" t="s">
        <v>329</v>
      </c>
      <c r="I6" t="s">
        <v>330</v>
      </c>
    </row>
    <row r="7" spans="5:19" x14ac:dyDescent="0.25">
      <c r="F7" s="140">
        <v>0</v>
      </c>
      <c r="G7" t="s">
        <v>329</v>
      </c>
      <c r="I7" t="s">
        <v>331</v>
      </c>
    </row>
    <row r="8" spans="5:19" x14ac:dyDescent="0.25">
      <c r="F8" s="140">
        <v>200</v>
      </c>
      <c r="G8" t="s">
        <v>329</v>
      </c>
      <c r="I8" t="s">
        <v>332</v>
      </c>
    </row>
    <row r="9" spans="5:19" x14ac:dyDescent="0.25">
      <c r="E9" s="4" t="s">
        <v>162</v>
      </c>
      <c r="F9" s="140">
        <v>600</v>
      </c>
      <c r="G9" t="s">
        <v>329</v>
      </c>
      <c r="I9" t="s">
        <v>330</v>
      </c>
    </row>
    <row r="10" spans="5:19" x14ac:dyDescent="0.25">
      <c r="F10" s="140">
        <v>0</v>
      </c>
      <c r="G10" t="s">
        <v>329</v>
      </c>
      <c r="I10" t="s">
        <v>331</v>
      </c>
    </row>
    <row r="11" spans="5:19" x14ac:dyDescent="0.25">
      <c r="F11" s="140">
        <v>100</v>
      </c>
      <c r="G11" t="s">
        <v>329</v>
      </c>
      <c r="I11" t="s">
        <v>332</v>
      </c>
    </row>
    <row r="12" spans="5:19" x14ac:dyDescent="0.25">
      <c r="F12" s="3"/>
    </row>
    <row r="13" spans="5:19" x14ac:dyDescent="0.25">
      <c r="E13" s="4" t="s">
        <v>333</v>
      </c>
      <c r="F13" s="140">
        <v>200</v>
      </c>
      <c r="G13" t="s">
        <v>329</v>
      </c>
      <c r="I13" t="s">
        <v>330</v>
      </c>
    </row>
    <row r="14" spans="5:19" x14ac:dyDescent="0.25">
      <c r="F14" s="140">
        <v>800</v>
      </c>
      <c r="G14" t="s">
        <v>329</v>
      </c>
      <c r="I14" t="s">
        <v>334</v>
      </c>
    </row>
    <row r="15" spans="5:19" x14ac:dyDescent="0.25">
      <c r="F15" s="140">
        <v>0</v>
      </c>
      <c r="G15" t="s">
        <v>329</v>
      </c>
      <c r="I15" t="s">
        <v>335</v>
      </c>
    </row>
    <row r="16" spans="5:19" x14ac:dyDescent="0.25">
      <c r="O16" s="1" t="s">
        <v>336</v>
      </c>
      <c r="P16" s="1"/>
      <c r="Q16" s="1"/>
      <c r="R16" s="1"/>
      <c r="S16" s="1"/>
    </row>
    <row r="17" spans="2:19" x14ac:dyDescent="0.25">
      <c r="J17" t="s">
        <v>337</v>
      </c>
      <c r="O17" s="1" t="s">
        <v>177</v>
      </c>
      <c r="P17" s="1"/>
      <c r="Q17" s="1" t="s">
        <v>338</v>
      </c>
      <c r="R17" s="1"/>
    </row>
    <row r="18" spans="2:19" x14ac:dyDescent="0.25">
      <c r="F18" s="1" t="s">
        <v>339</v>
      </c>
      <c r="G18" t="s">
        <v>340</v>
      </c>
      <c r="H18" t="s">
        <v>341</v>
      </c>
      <c r="K18" s="1" t="s">
        <v>342</v>
      </c>
      <c r="O18" s="1" t="s">
        <v>343</v>
      </c>
      <c r="P18" s="1" t="s">
        <v>268</v>
      </c>
      <c r="Q18" s="1" t="s">
        <v>343</v>
      </c>
      <c r="R18" s="1" t="s">
        <v>268</v>
      </c>
    </row>
    <row r="19" spans="2:19" x14ac:dyDescent="0.25">
      <c r="B19" s="85" t="s">
        <v>344</v>
      </c>
      <c r="C19" s="140" t="s">
        <v>51</v>
      </c>
      <c r="D19" s="196">
        <v>1</v>
      </c>
      <c r="E19" s="142" t="s">
        <v>310</v>
      </c>
      <c r="F19" s="197">
        <v>2.75</v>
      </c>
      <c r="G19" s="197">
        <v>3.5</v>
      </c>
      <c r="H19" s="197">
        <v>3.5</v>
      </c>
      <c r="N19">
        <v>1</v>
      </c>
      <c r="O19" s="245">
        <v>1</v>
      </c>
      <c r="P19" s="245">
        <v>1</v>
      </c>
      <c r="Q19" s="247">
        <v>0</v>
      </c>
      <c r="R19" s="247">
        <v>0</v>
      </c>
      <c r="S19" s="6"/>
    </row>
    <row r="20" spans="2:19" x14ac:dyDescent="0.25">
      <c r="D20" s="196">
        <v>2</v>
      </c>
      <c r="E20" s="142" t="s">
        <v>311</v>
      </c>
      <c r="F20" s="197">
        <v>4</v>
      </c>
      <c r="G20" s="197">
        <v>6</v>
      </c>
      <c r="H20" s="197">
        <v>10</v>
      </c>
      <c r="N20">
        <f>N19+1</f>
        <v>2</v>
      </c>
      <c r="O20" s="245">
        <v>1</v>
      </c>
      <c r="P20" s="245">
        <v>1</v>
      </c>
      <c r="Q20" s="247">
        <v>0</v>
      </c>
      <c r="R20" s="247">
        <v>0</v>
      </c>
      <c r="S20" s="6"/>
    </row>
    <row r="21" spans="2:19" x14ac:dyDescent="0.25">
      <c r="D21" s="196">
        <v>3</v>
      </c>
      <c r="E21" s="142" t="s">
        <v>312</v>
      </c>
      <c r="F21" s="197">
        <f>J21</f>
        <v>2.3809523809523809</v>
      </c>
      <c r="G21" s="197">
        <f>J21</f>
        <v>2.3809523809523809</v>
      </c>
      <c r="H21" s="197">
        <f>H19</f>
        <v>3.5</v>
      </c>
      <c r="J21" s="5">
        <f>(Resultaten!Z10/Resultaten!Z7)</f>
        <v>2.3809523809523809</v>
      </c>
      <c r="N21">
        <f t="shared" ref="N21:N23" si="0">N20+1</f>
        <v>3</v>
      </c>
      <c r="O21" s="245">
        <v>0</v>
      </c>
      <c r="P21" s="245">
        <v>0</v>
      </c>
      <c r="Q21" s="247">
        <f>1/Resultaten!Z10</f>
        <v>1.1217948717948718E-2</v>
      </c>
      <c r="R21" s="247">
        <f>Q21</f>
        <v>1.1217948717948718E-2</v>
      </c>
      <c r="S21" s="6"/>
    </row>
    <row r="22" spans="2:19" x14ac:dyDescent="0.25">
      <c r="D22" s="196">
        <v>4</v>
      </c>
      <c r="E22" s="142" t="s">
        <v>313</v>
      </c>
      <c r="F22" s="197">
        <f>J22</f>
        <v>2.3809523809523809</v>
      </c>
      <c r="G22" s="197">
        <f>G19</f>
        <v>3.5</v>
      </c>
      <c r="H22" s="197">
        <f>H19</f>
        <v>3.5</v>
      </c>
      <c r="J22" s="5">
        <f>J21</f>
        <v>2.3809523809523809</v>
      </c>
      <c r="N22">
        <f t="shared" si="0"/>
        <v>4</v>
      </c>
      <c r="O22" s="245">
        <v>0</v>
      </c>
      <c r="P22" s="245">
        <v>0</v>
      </c>
      <c r="Q22" s="247">
        <f>Q21</f>
        <v>1.1217948717948718E-2</v>
      </c>
      <c r="R22" s="247">
        <f>R21</f>
        <v>1.1217948717948718E-2</v>
      </c>
      <c r="S22" s="6"/>
    </row>
    <row r="23" spans="2:19" x14ac:dyDescent="0.25">
      <c r="D23" s="196">
        <v>5</v>
      </c>
      <c r="E23" s="142" t="s">
        <v>314</v>
      </c>
      <c r="F23" s="197">
        <f>J23</f>
        <v>2.3809523809523809</v>
      </c>
      <c r="G23" s="197">
        <f>6.5*(1-K23)+K23*J23</f>
        <v>5.4702380952380949</v>
      </c>
      <c r="H23" s="197">
        <f>H22</f>
        <v>3.5</v>
      </c>
      <c r="J23" s="5">
        <f>J22</f>
        <v>2.3809523809523809</v>
      </c>
      <c r="K23" s="6">
        <v>0.25</v>
      </c>
      <c r="N23">
        <f t="shared" si="0"/>
        <v>5</v>
      </c>
      <c r="O23" s="245">
        <v>1</v>
      </c>
      <c r="P23" s="245">
        <f>1-K23</f>
        <v>0.75</v>
      </c>
      <c r="Q23" s="247">
        <f>Q22</f>
        <v>1.1217948717948718E-2</v>
      </c>
      <c r="R23" s="247">
        <f>Q23*K23</f>
        <v>2.8044871794871795E-3</v>
      </c>
      <c r="S23" s="6"/>
    </row>
    <row r="24" spans="2:19" x14ac:dyDescent="0.25">
      <c r="O24" s="6"/>
      <c r="P24" s="6"/>
      <c r="Q24" s="6"/>
      <c r="R24" s="6"/>
      <c r="S24" s="6"/>
    </row>
    <row r="25" spans="2:19" x14ac:dyDescent="0.25">
      <c r="E25" s="4" t="s">
        <v>345</v>
      </c>
    </row>
    <row r="26" spans="2:19" x14ac:dyDescent="0.25">
      <c r="D26" s="1">
        <v>1</v>
      </c>
      <c r="E26" s="4" t="s">
        <v>322</v>
      </c>
      <c r="F26" s="1">
        <v>0</v>
      </c>
      <c r="G26" t="s">
        <v>346</v>
      </c>
    </row>
    <row r="27" spans="2:19" x14ac:dyDescent="0.25">
      <c r="D27" s="1">
        <v>2</v>
      </c>
      <c r="E27" s="4" t="s">
        <v>317</v>
      </c>
      <c r="F27" s="1">
        <v>300</v>
      </c>
      <c r="G27" t="s">
        <v>346</v>
      </c>
    </row>
    <row r="28" spans="2:19" x14ac:dyDescent="0.25">
      <c r="D28" s="1">
        <v>3</v>
      </c>
      <c r="E28" s="4" t="s">
        <v>319</v>
      </c>
      <c r="F28" s="1">
        <v>350</v>
      </c>
      <c r="G28" t="s">
        <v>346</v>
      </c>
    </row>
    <row r="29" spans="2:19" x14ac:dyDescent="0.25">
      <c r="D29" s="1">
        <v>4</v>
      </c>
      <c r="E29" s="4" t="s">
        <v>320</v>
      </c>
      <c r="F29" s="1">
        <v>550</v>
      </c>
      <c r="G29" t="s">
        <v>346</v>
      </c>
    </row>
    <row r="31" spans="2:19" x14ac:dyDescent="0.25">
      <c r="E31" s="4" t="s">
        <v>22</v>
      </c>
    </row>
    <row r="32" spans="2:19" x14ac:dyDescent="0.25">
      <c r="D32" s="1">
        <v>1</v>
      </c>
      <c r="E32" s="4" t="s">
        <v>322</v>
      </c>
      <c r="F32" s="6">
        <v>0</v>
      </c>
      <c r="G32" t="s">
        <v>347</v>
      </c>
    </row>
    <row r="33" spans="4:16" x14ac:dyDescent="0.25">
      <c r="D33" s="1">
        <v>2</v>
      </c>
      <c r="E33" s="4" t="s">
        <v>34</v>
      </c>
      <c r="F33" s="6">
        <v>0.3</v>
      </c>
      <c r="G33" t="s">
        <v>347</v>
      </c>
    </row>
    <row r="34" spans="4:16" x14ac:dyDescent="0.25">
      <c r="D34" s="1">
        <v>3</v>
      </c>
      <c r="E34" s="4" t="s">
        <v>33</v>
      </c>
      <c r="F34" s="6">
        <v>0.4</v>
      </c>
      <c r="G34" t="s">
        <v>347</v>
      </c>
    </row>
    <row r="36" spans="4:16" x14ac:dyDescent="0.25">
      <c r="E36" s="2" t="s">
        <v>348</v>
      </c>
    </row>
    <row r="37" spans="4:16" x14ac:dyDescent="0.25">
      <c r="E37" s="1" t="s">
        <v>349</v>
      </c>
      <c r="F37" s="1" t="s">
        <v>350</v>
      </c>
      <c r="G37" s="1" t="s">
        <v>351</v>
      </c>
      <c r="I37" s="1" t="s">
        <v>352</v>
      </c>
    </row>
    <row r="38" spans="4:16" x14ac:dyDescent="0.25">
      <c r="D38" s="1">
        <v>1</v>
      </c>
      <c r="E38" s="4" t="s">
        <v>300</v>
      </c>
      <c r="F38" s="1">
        <v>20</v>
      </c>
      <c r="G38" s="1">
        <v>100</v>
      </c>
      <c r="H38" t="s">
        <v>190</v>
      </c>
      <c r="I38" s="6">
        <v>0</v>
      </c>
    </row>
    <row r="39" spans="4:16" x14ac:dyDescent="0.25">
      <c r="D39" s="1">
        <v>2</v>
      </c>
      <c r="E39" s="4" t="s">
        <v>301</v>
      </c>
      <c r="F39" s="1">
        <f>F38</f>
        <v>20</v>
      </c>
      <c r="G39" s="1">
        <f>G38</f>
        <v>100</v>
      </c>
      <c r="H39" t="s">
        <v>190</v>
      </c>
      <c r="I39" s="6">
        <v>0.4</v>
      </c>
    </row>
    <row r="40" spans="4:16" x14ac:dyDescent="0.25">
      <c r="D40" s="1">
        <v>3</v>
      </c>
      <c r="E40" s="4" t="s">
        <v>302</v>
      </c>
      <c r="F40" s="1">
        <v>150</v>
      </c>
      <c r="G40" s="1">
        <v>750</v>
      </c>
      <c r="H40" t="s">
        <v>190</v>
      </c>
      <c r="I40" s="6">
        <v>0.9</v>
      </c>
    </row>
    <row r="41" spans="4:16" x14ac:dyDescent="0.25">
      <c r="D41" s="1">
        <v>4</v>
      </c>
      <c r="E41" s="4" t="s">
        <v>303</v>
      </c>
      <c r="F41" s="1">
        <v>100</v>
      </c>
      <c r="G41" s="1">
        <v>600</v>
      </c>
      <c r="H41" t="s">
        <v>190</v>
      </c>
      <c r="I41" s="6">
        <v>0.8</v>
      </c>
    </row>
    <row r="42" spans="4:16" x14ac:dyDescent="0.25">
      <c r="E42" s="4"/>
      <c r="F42" s="5"/>
    </row>
    <row r="43" spans="4:16" x14ac:dyDescent="0.25">
      <c r="E43" s="1" t="s">
        <v>353</v>
      </c>
      <c r="F43" s="202" cm="1">
        <f t="array" ref="F43">INDEX(F45:M49,input_TypeApartement_value,input_Orientatie_value)</f>
        <v>1.4822530864197532</v>
      </c>
      <c r="O43" s="1"/>
    </row>
    <row r="44" spans="4:16" x14ac:dyDescent="0.25">
      <c r="F44" s="1" t="s">
        <v>262</v>
      </c>
      <c r="G44" s="1" t="s">
        <v>263</v>
      </c>
      <c r="H44" s="1" t="s">
        <v>264</v>
      </c>
      <c r="I44" s="1" t="s">
        <v>265</v>
      </c>
      <c r="J44" s="1" t="s">
        <v>266</v>
      </c>
      <c r="K44" s="1" t="s">
        <v>267</v>
      </c>
      <c r="L44" s="1" t="s">
        <v>268</v>
      </c>
      <c r="M44" s="1" t="s">
        <v>269</v>
      </c>
      <c r="O44" s="1" t="s">
        <v>354</v>
      </c>
      <c r="P44" s="1" t="s">
        <v>355</v>
      </c>
    </row>
    <row r="45" spans="4:16" x14ac:dyDescent="0.25">
      <c r="D45" s="1">
        <v>1</v>
      </c>
      <c r="E45" s="4" t="s">
        <v>249</v>
      </c>
      <c r="F45" s="6">
        <v>1</v>
      </c>
      <c r="G45" s="6">
        <v>1.05</v>
      </c>
      <c r="H45" s="6">
        <v>1.2</v>
      </c>
      <c r="I45" s="6">
        <v>1.25</v>
      </c>
      <c r="J45" s="6">
        <v>1.5</v>
      </c>
      <c r="K45" s="6">
        <v>1.75</v>
      </c>
      <c r="L45" s="6">
        <v>1.5</v>
      </c>
      <c r="M45" s="6">
        <v>1.2</v>
      </c>
      <c r="O45" s="34">
        <f>AVERAGE(F45:M45)</f>
        <v>1.3062499999999999</v>
      </c>
      <c r="P45" s="6">
        <v>1.4</v>
      </c>
    </row>
    <row r="46" spans="4:16" x14ac:dyDescent="0.25">
      <c r="D46" s="1">
        <v>2</v>
      </c>
      <c r="E46" s="4" t="s">
        <v>254</v>
      </c>
      <c r="F46" s="34">
        <v>1</v>
      </c>
      <c r="G46" s="6">
        <f>((G45-1)/1.2)^4+1</f>
        <v>1.0000030140817902</v>
      </c>
      <c r="H46" s="6">
        <f t="shared" ref="H46:M46" si="1">((H45-1)/1.2)^4+1</f>
        <v>1.0007716049382716</v>
      </c>
      <c r="I46" s="6">
        <f t="shared" si="1"/>
        <v>1.0018838011188271</v>
      </c>
      <c r="J46" s="6">
        <f t="shared" si="1"/>
        <v>1.0301408179012346</v>
      </c>
      <c r="K46" s="6">
        <f t="shared" si="1"/>
        <v>1.152587890625</v>
      </c>
      <c r="L46" s="6">
        <f t="shared" si="1"/>
        <v>1.0301408179012346</v>
      </c>
      <c r="M46" s="6">
        <f t="shared" si="1"/>
        <v>1.0007716049382716</v>
      </c>
      <c r="O46" s="34">
        <f t="shared" ref="O46:O49" si="2">AVERAGE(F46:M46)</f>
        <v>1.0270374439380787</v>
      </c>
      <c r="P46" s="6">
        <v>0.9</v>
      </c>
    </row>
    <row r="47" spans="4:16" x14ac:dyDescent="0.25">
      <c r="D47" s="1">
        <v>3</v>
      </c>
      <c r="E47" s="4" t="s">
        <v>256</v>
      </c>
      <c r="F47" s="6">
        <v>0.7</v>
      </c>
      <c r="G47" s="34">
        <f>F47+0.025</f>
        <v>0.72499999999999998</v>
      </c>
      <c r="H47" s="34">
        <f t="shared" ref="H47:L47" si="3">G47+0.025</f>
        <v>0.75</v>
      </c>
      <c r="I47" s="34">
        <f t="shared" si="3"/>
        <v>0.77500000000000002</v>
      </c>
      <c r="J47" s="34">
        <f>I47+0.025</f>
        <v>0.8</v>
      </c>
      <c r="K47" s="34">
        <f t="shared" si="3"/>
        <v>0.82500000000000007</v>
      </c>
      <c r="L47" s="34">
        <f t="shared" si="3"/>
        <v>0.85000000000000009</v>
      </c>
      <c r="M47" s="34">
        <f>(L47+F47)/2</f>
        <v>0.77500000000000002</v>
      </c>
      <c r="O47" s="34">
        <f>AVERAGE(F47:M47)</f>
        <v>0.77500000000000013</v>
      </c>
      <c r="P47" s="6">
        <v>0.9</v>
      </c>
    </row>
    <row r="48" spans="4:16" x14ac:dyDescent="0.25">
      <c r="D48" s="1">
        <v>4</v>
      </c>
      <c r="E48" s="4" t="s">
        <v>259</v>
      </c>
      <c r="F48" s="6">
        <v>1.1000000000000001</v>
      </c>
      <c r="G48" s="6">
        <v>1.2</v>
      </c>
      <c r="H48" s="6">
        <v>1.5</v>
      </c>
      <c r="I48" s="6">
        <v>1.75</v>
      </c>
      <c r="J48" s="6">
        <v>2</v>
      </c>
      <c r="K48" s="6">
        <v>1.5</v>
      </c>
      <c r="L48" s="6">
        <v>1.25</v>
      </c>
      <c r="M48" s="6">
        <v>1.1000000000000001</v>
      </c>
      <c r="O48" s="34">
        <f t="shared" si="2"/>
        <v>1.425</v>
      </c>
      <c r="P48" s="6">
        <v>1.2</v>
      </c>
    </row>
    <row r="49" spans="2:24" x14ac:dyDescent="0.25">
      <c r="D49" s="1">
        <v>5</v>
      </c>
      <c r="E49" s="4" t="s">
        <v>257</v>
      </c>
      <c r="F49" s="6">
        <f>((F48-1)/1.2)^4+1</f>
        <v>1.000048225308642</v>
      </c>
      <c r="G49" s="6">
        <f t="shared" ref="G49:M49" si="4">((G48-1)/1.2)^4+1</f>
        <v>1.0007716049382716</v>
      </c>
      <c r="H49" s="6">
        <f t="shared" si="4"/>
        <v>1.0301408179012346</v>
      </c>
      <c r="I49" s="6">
        <f t="shared" si="4"/>
        <v>1.152587890625</v>
      </c>
      <c r="J49" s="6">
        <f t="shared" si="4"/>
        <v>1.4822530864197532</v>
      </c>
      <c r="K49" s="6">
        <f t="shared" si="4"/>
        <v>1.0301408179012346</v>
      </c>
      <c r="L49" s="6">
        <f t="shared" si="4"/>
        <v>1.0018838011188271</v>
      </c>
      <c r="M49" s="6">
        <f t="shared" si="4"/>
        <v>1.000048225308642</v>
      </c>
      <c r="O49" s="34">
        <f t="shared" si="2"/>
        <v>1.0872343086902008</v>
      </c>
      <c r="P49" s="6">
        <v>0.9</v>
      </c>
    </row>
    <row r="50" spans="2:24" x14ac:dyDescent="0.25">
      <c r="F50" s="1" t="s">
        <v>272</v>
      </c>
      <c r="G50" s="1" t="s">
        <v>273</v>
      </c>
      <c r="H50" s="1" t="s">
        <v>274</v>
      </c>
      <c r="I50" s="1" t="s">
        <v>275</v>
      </c>
      <c r="J50" s="1" t="s">
        <v>276</v>
      </c>
      <c r="K50" s="1" t="s">
        <v>277</v>
      </c>
      <c r="L50" s="1" t="s">
        <v>278</v>
      </c>
      <c r="M50" s="1" t="s">
        <v>279</v>
      </c>
      <c r="O50" s="34"/>
      <c r="P50" s="6"/>
    </row>
    <row r="52" spans="2:24" x14ac:dyDescent="0.25">
      <c r="E52" s="4" t="s">
        <v>356</v>
      </c>
      <c r="F52" s="1">
        <f>0.5*0.6*0.35</f>
        <v>0.105</v>
      </c>
      <c r="G52" t="s">
        <v>357</v>
      </c>
    </row>
    <row r="53" spans="2:24" x14ac:dyDescent="0.25">
      <c r="F53" s="1">
        <v>2</v>
      </c>
      <c r="G53" t="s">
        <v>358</v>
      </c>
      <c r="I53" s="1">
        <v>0.5</v>
      </c>
    </row>
    <row r="54" spans="2:24" x14ac:dyDescent="0.25">
      <c r="F54" s="1">
        <v>0.02</v>
      </c>
      <c r="G54" s="1">
        <f t="shared" ref="G54:P54" si="5">F54+$F$54</f>
        <v>0.04</v>
      </c>
      <c r="H54" s="1">
        <f t="shared" si="5"/>
        <v>0.06</v>
      </c>
      <c r="I54" s="1">
        <f t="shared" si="5"/>
        <v>0.08</v>
      </c>
      <c r="J54" s="1">
        <f t="shared" si="5"/>
        <v>0.1</v>
      </c>
      <c r="K54" s="1">
        <f t="shared" si="5"/>
        <v>0.12000000000000001</v>
      </c>
      <c r="L54" s="1">
        <f t="shared" si="5"/>
        <v>0.14000000000000001</v>
      </c>
      <c r="M54" s="1">
        <f t="shared" si="5"/>
        <v>0.16</v>
      </c>
      <c r="N54" s="1">
        <f t="shared" si="5"/>
        <v>0.18</v>
      </c>
      <c r="O54" s="1">
        <f t="shared" si="5"/>
        <v>0.19999999999999998</v>
      </c>
      <c r="P54" s="1">
        <f t="shared" si="5"/>
        <v>0.21999999999999997</v>
      </c>
    </row>
    <row r="55" spans="2:24" x14ac:dyDescent="0.25">
      <c r="F55" s="6">
        <f>F54/0.5/0.3</f>
        <v>0.13333333333333333</v>
      </c>
      <c r="G55" s="6">
        <f t="shared" ref="G55:P55" si="6">G54/0.5/0.3</f>
        <v>0.26666666666666666</v>
      </c>
      <c r="H55" s="6">
        <f t="shared" si="6"/>
        <v>0.4</v>
      </c>
      <c r="I55" s="6">
        <f t="shared" si="6"/>
        <v>0.53333333333333333</v>
      </c>
      <c r="J55" s="6">
        <f t="shared" si="6"/>
        <v>0.66666666666666674</v>
      </c>
      <c r="K55" s="6">
        <f t="shared" si="6"/>
        <v>0.8</v>
      </c>
      <c r="L55" s="6">
        <f t="shared" si="6"/>
        <v>0.93333333333333346</v>
      </c>
      <c r="M55" s="6">
        <f t="shared" si="6"/>
        <v>1.0666666666666667</v>
      </c>
      <c r="N55" s="6">
        <f t="shared" si="6"/>
        <v>1.2</v>
      </c>
      <c r="O55" s="6">
        <f t="shared" si="6"/>
        <v>1.3333333333333333</v>
      </c>
      <c r="P55" s="6">
        <f t="shared" si="6"/>
        <v>1.4666666666666666</v>
      </c>
      <c r="Q55" t="s">
        <v>359</v>
      </c>
    </row>
    <row r="56" spans="2:24" x14ac:dyDescent="0.25">
      <c r="F56" s="6">
        <f>F54/0.5/0.1</f>
        <v>0.39999999999999997</v>
      </c>
      <c r="G56" s="6">
        <f t="shared" ref="G56:O56" si="7">G54/0.5/0.1</f>
        <v>0.79999999999999993</v>
      </c>
      <c r="H56" s="6">
        <f t="shared" si="7"/>
        <v>1.2</v>
      </c>
      <c r="I56" s="6">
        <f t="shared" si="7"/>
        <v>1.5999999999999999</v>
      </c>
      <c r="J56" s="6">
        <f t="shared" si="7"/>
        <v>2</v>
      </c>
      <c r="K56" s="6">
        <f t="shared" si="7"/>
        <v>2.4</v>
      </c>
      <c r="L56" s="6">
        <f t="shared" si="7"/>
        <v>2.8000000000000003</v>
      </c>
      <c r="M56" s="6">
        <f t="shared" si="7"/>
        <v>3.1999999999999997</v>
      </c>
      <c r="N56" s="6">
        <f t="shared" si="7"/>
        <v>3.5999999999999996</v>
      </c>
      <c r="O56" s="6">
        <f t="shared" si="7"/>
        <v>3.9999999999999996</v>
      </c>
      <c r="P56" s="6">
        <f t="shared" ref="P56" si="8">P54/0.5/0.1</f>
        <v>4.3999999999999995</v>
      </c>
      <c r="Q56" t="s">
        <v>360</v>
      </c>
    </row>
    <row r="57" spans="2:24" x14ac:dyDescent="0.25">
      <c r="E57" s="4" t="s">
        <v>361</v>
      </c>
      <c r="F57" s="5">
        <f>1+$F$53*(F54-$F$52)/$F$52^$I$53</f>
        <v>0.47536861012888754</v>
      </c>
      <c r="G57" s="5">
        <f t="shared" ref="G57:P57" si="9">1+$F$53*(G54-$F$52)/$F$52^$I$53</f>
        <v>0.59881129009856093</v>
      </c>
      <c r="H57" s="5">
        <f t="shared" si="9"/>
        <v>0.72225397006823455</v>
      </c>
      <c r="I57" s="5">
        <f t="shared" si="9"/>
        <v>0.84569665003790817</v>
      </c>
      <c r="J57" s="5">
        <f t="shared" si="9"/>
        <v>0.96913933000758168</v>
      </c>
      <c r="K57" s="5">
        <f t="shared" si="9"/>
        <v>1.0925820099772552</v>
      </c>
      <c r="L57" s="5">
        <f t="shared" si="9"/>
        <v>1.2160246899469289</v>
      </c>
      <c r="M57" s="5">
        <f t="shared" si="9"/>
        <v>1.3394673699166022</v>
      </c>
      <c r="N57" s="5">
        <f t="shared" si="9"/>
        <v>1.4629100498862757</v>
      </c>
      <c r="O57" s="5">
        <f t="shared" si="9"/>
        <v>1.5863527298559492</v>
      </c>
      <c r="P57" s="5">
        <f t="shared" si="9"/>
        <v>1.7097954098256227</v>
      </c>
    </row>
    <row r="59" spans="2:24" x14ac:dyDescent="0.25">
      <c r="E59" s="4" t="s">
        <v>362</v>
      </c>
      <c r="F59" t="s">
        <v>363</v>
      </c>
    </row>
    <row r="60" spans="2:24" x14ac:dyDescent="0.25">
      <c r="E60" s="4"/>
      <c r="F60" t="s">
        <v>364</v>
      </c>
    </row>
    <row r="61" spans="2:24" x14ac:dyDescent="0.25">
      <c r="F61" t="s">
        <v>365</v>
      </c>
    </row>
    <row r="63" spans="2:24" x14ac:dyDescent="0.25">
      <c r="E63" s="2" t="s">
        <v>366</v>
      </c>
    </row>
    <row r="64" spans="2:24" x14ac:dyDescent="0.25">
      <c r="B64" s="85" t="s">
        <v>367</v>
      </c>
      <c r="E64" s="4" t="s">
        <v>368</v>
      </c>
      <c r="F64" s="195">
        <v>5</v>
      </c>
      <c r="G64" t="s">
        <v>369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25">
      <c r="B65" s="85" t="s">
        <v>370</v>
      </c>
      <c r="F65" s="195">
        <v>-0.5</v>
      </c>
      <c r="G65" t="s">
        <v>371</v>
      </c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2:24" x14ac:dyDescent="0.25">
      <c r="B66" s="85" t="s">
        <v>372</v>
      </c>
      <c r="F66" s="195">
        <v>0.5</v>
      </c>
      <c r="G66" t="s">
        <v>373</v>
      </c>
    </row>
    <row r="67" spans="2:24" x14ac:dyDescent="0.25">
      <c r="B67" s="85" t="s">
        <v>374</v>
      </c>
      <c r="E67" t="s">
        <v>375</v>
      </c>
      <c r="F67" s="140">
        <f>0.6*0.5</f>
        <v>0.3</v>
      </c>
      <c r="G67" t="s">
        <v>376</v>
      </c>
    </row>
    <row r="68" spans="2:24" x14ac:dyDescent="0.25">
      <c r="B68" s="85" t="s">
        <v>377</v>
      </c>
      <c r="F68" s="140">
        <v>0.4</v>
      </c>
      <c r="G68" t="s">
        <v>358</v>
      </c>
      <c r="I68" s="140">
        <v>0.2</v>
      </c>
    </row>
    <row r="69" spans="2:24" x14ac:dyDescent="0.25">
      <c r="E69" s="4" t="s">
        <v>378</v>
      </c>
      <c r="F69" s="1">
        <v>0.05</v>
      </c>
      <c r="G69" s="1">
        <f>F69+0.05</f>
        <v>0.1</v>
      </c>
      <c r="H69" s="1">
        <f t="shared" ref="H69:P69" si="10">G69+0.05</f>
        <v>0.15000000000000002</v>
      </c>
      <c r="I69" s="1">
        <f t="shared" si="10"/>
        <v>0.2</v>
      </c>
      <c r="J69" s="1">
        <f t="shared" si="10"/>
        <v>0.25</v>
      </c>
      <c r="K69" s="1">
        <f t="shared" si="10"/>
        <v>0.3</v>
      </c>
      <c r="L69" s="1">
        <f t="shared" si="10"/>
        <v>0.35</v>
      </c>
      <c r="M69" s="1">
        <f t="shared" si="10"/>
        <v>0.39999999999999997</v>
      </c>
      <c r="N69" s="1">
        <f t="shared" si="10"/>
        <v>0.44999999999999996</v>
      </c>
      <c r="O69" s="1">
        <f t="shared" si="10"/>
        <v>0.49999999999999994</v>
      </c>
      <c r="P69" s="1">
        <f t="shared" si="10"/>
        <v>0.54999999999999993</v>
      </c>
      <c r="Q69" s="1">
        <f t="shared" ref="Q69" si="11">P69+0.05</f>
        <v>0.6</v>
      </c>
      <c r="R69" s="1">
        <f t="shared" ref="R69" si="12">Q69+0.05</f>
        <v>0.65</v>
      </c>
      <c r="S69" s="1">
        <f t="shared" ref="S69" si="13">R69+0.05</f>
        <v>0.70000000000000007</v>
      </c>
    </row>
    <row r="70" spans="2:24" x14ac:dyDescent="0.25">
      <c r="E70" s="4" t="s">
        <v>379</v>
      </c>
      <c r="F70" s="6">
        <f>(1-$F$68*(F69-$F$67)/$F$52^$I$68)</f>
        <v>1.1569502963948697</v>
      </c>
      <c r="G70" s="6">
        <f t="shared" ref="G70:P70" si="14">(1-$F$68*(G69-$F$67)/$F$52^$I$68)</f>
        <v>1.1255602371158957</v>
      </c>
      <c r="H70" s="6">
        <f t="shared" si="14"/>
        <v>1.0941701778369217</v>
      </c>
      <c r="I70" s="6">
        <f t="shared" si="14"/>
        <v>1.062780118557948</v>
      </c>
      <c r="J70" s="6">
        <f t="shared" si="14"/>
        <v>1.031390059278974</v>
      </c>
      <c r="K70" s="6">
        <f t="shared" si="14"/>
        <v>1</v>
      </c>
      <c r="L70" s="6">
        <f t="shared" si="14"/>
        <v>0.96860994072102602</v>
      </c>
      <c r="M70" s="6">
        <f t="shared" si="14"/>
        <v>0.93721988144205215</v>
      </c>
      <c r="N70" s="6">
        <f t="shared" si="14"/>
        <v>0.90582982216307817</v>
      </c>
      <c r="O70" s="6">
        <f t="shared" si="14"/>
        <v>0.8744397628841043</v>
      </c>
      <c r="P70" s="6">
        <f t="shared" si="14"/>
        <v>0.84304970360513032</v>
      </c>
      <c r="Q70" s="6">
        <f t="shared" ref="Q70:S70" si="15">(1-$F$68*(Q69-$F$67)/$F$52^$I$68)</f>
        <v>0.81165964432615634</v>
      </c>
      <c r="R70" s="6">
        <f t="shared" si="15"/>
        <v>0.78026958504718236</v>
      </c>
      <c r="S70" s="6">
        <f t="shared" si="15"/>
        <v>0.74887952576820838</v>
      </c>
    </row>
    <row r="71" spans="2:24" x14ac:dyDescent="0.25">
      <c r="E71" s="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2:24" x14ac:dyDescent="0.25">
      <c r="E72" s="2" t="s">
        <v>380</v>
      </c>
      <c r="F72" s="6"/>
    </row>
    <row r="73" spans="2:24" x14ac:dyDescent="0.25">
      <c r="D73" s="1">
        <v>1</v>
      </c>
      <c r="E73" s="4" t="s">
        <v>249</v>
      </c>
      <c r="F73" s="6">
        <v>1.1000000000000001</v>
      </c>
    </row>
    <row r="74" spans="2:24" x14ac:dyDescent="0.25">
      <c r="D74" s="1">
        <v>2</v>
      </c>
      <c r="E74" s="4" t="s">
        <v>254</v>
      </c>
      <c r="F74" s="6">
        <v>1.1000000000000001</v>
      </c>
    </row>
    <row r="75" spans="2:24" x14ac:dyDescent="0.25">
      <c r="D75" s="1">
        <v>3</v>
      </c>
      <c r="E75" s="4" t="s">
        <v>256</v>
      </c>
      <c r="F75" s="6">
        <v>0.9</v>
      </c>
    </row>
    <row r="76" spans="2:24" x14ac:dyDescent="0.25">
      <c r="D76" s="1">
        <v>4</v>
      </c>
      <c r="E76" s="4" t="s">
        <v>259</v>
      </c>
      <c r="F76" s="6">
        <v>1.05</v>
      </c>
    </row>
    <row r="77" spans="2:24" x14ac:dyDescent="0.25">
      <c r="D77" s="1">
        <v>5</v>
      </c>
      <c r="E77" s="4" t="s">
        <v>257</v>
      </c>
      <c r="F77" s="6">
        <v>1.05</v>
      </c>
    </row>
    <row r="80" spans="2:24" x14ac:dyDescent="0.25">
      <c r="E80" s="4" t="s">
        <v>381</v>
      </c>
      <c r="F80" s="74">
        <f>VLOOKUP(input_TypeApartement_value,Licht_vorm,3)*J80*Invoer!K55</f>
        <v>1.1031765964413706E-2</v>
      </c>
      <c r="H80" s="4" t="s">
        <v>382</v>
      </c>
      <c r="I80" s="33">
        <f>0.7*OppervlakGlasInBuitengevel_value/input_GrootteApartement_value</f>
        <v>0.13124999999999998</v>
      </c>
      <c r="J80" s="6">
        <f>(1-$F$68*(I80-$F$67)/$F$52^$I$68)</f>
        <v>1.105941450066537</v>
      </c>
    </row>
    <row r="82" spans="2:29" x14ac:dyDescent="0.25">
      <c r="E82" s="4" t="s">
        <v>383</v>
      </c>
      <c r="F82" s="74">
        <f>IF(Invoer!F48=1,Coeefficienten!F80,Invoer!M49)</f>
        <v>3.0000000000000006E-2</v>
      </c>
      <c r="G82" s="215">
        <f>HLOOKUP(F82,F88:R89,2)</f>
        <v>1.0580645161290321</v>
      </c>
      <c r="H82" s="214">
        <f>$H$84*G82</f>
        <v>0.36372626338874592</v>
      </c>
    </row>
    <row r="83" spans="2:29" x14ac:dyDescent="0.25">
      <c r="E83" s="4" t="s">
        <v>384</v>
      </c>
      <c r="F83" s="211">
        <f>Invoer!K55</f>
        <v>9.4999999999999998E-3</v>
      </c>
      <c r="H83" s="75">
        <f>F83/F86</f>
        <v>0.37999999999999995</v>
      </c>
    </row>
    <row r="84" spans="2:29" x14ac:dyDescent="0.25">
      <c r="E84" s="4" t="s">
        <v>385</v>
      </c>
      <c r="F84" s="204">
        <f>(output_Gebruiksuren_value-12)*365</f>
        <v>2296.1828312639936</v>
      </c>
      <c r="G84" t="s">
        <v>128</v>
      </c>
      <c r="H84" s="6">
        <f>F84/(365*18.3)</f>
        <v>0.34376567576375383</v>
      </c>
      <c r="I84" t="s">
        <v>386</v>
      </c>
    </row>
    <row r="85" spans="2:29" x14ac:dyDescent="0.25">
      <c r="E85" s="4" t="s">
        <v>387</v>
      </c>
      <c r="F85" s="212">
        <v>0.8</v>
      </c>
    </row>
    <row r="86" spans="2:29" x14ac:dyDescent="0.25">
      <c r="E86" s="4" t="s">
        <v>388</v>
      </c>
      <c r="F86" s="211">
        <v>2.5000000000000001E-2</v>
      </c>
    </row>
    <row r="87" spans="2:29" x14ac:dyDescent="0.25">
      <c r="E87" s="4"/>
      <c r="F87" s="211" t="s">
        <v>389</v>
      </c>
    </row>
    <row r="88" spans="2:29" x14ac:dyDescent="0.25">
      <c r="E88" s="4" t="s">
        <v>390</v>
      </c>
      <c r="F88" s="213">
        <v>0</v>
      </c>
      <c r="G88" s="213">
        <v>2.5000000000000001E-3</v>
      </c>
      <c r="H88" s="214">
        <f t="shared" ref="H88:P88" si="16">G88+$G$88</f>
        <v>5.0000000000000001E-3</v>
      </c>
      <c r="I88" s="214">
        <f t="shared" si="16"/>
        <v>7.4999999999999997E-3</v>
      </c>
      <c r="J88" s="214">
        <f t="shared" si="16"/>
        <v>0.01</v>
      </c>
      <c r="K88" s="214">
        <f t="shared" si="16"/>
        <v>1.2500000000000001E-2</v>
      </c>
      <c r="L88" s="214">
        <f t="shared" si="16"/>
        <v>1.5000000000000001E-2</v>
      </c>
      <c r="M88" s="214">
        <f t="shared" si="16"/>
        <v>1.7500000000000002E-2</v>
      </c>
      <c r="N88" s="214">
        <f t="shared" si="16"/>
        <v>0.02</v>
      </c>
      <c r="O88" s="214">
        <f t="shared" si="16"/>
        <v>2.2499999999999999E-2</v>
      </c>
      <c r="P88" s="214">
        <f t="shared" si="16"/>
        <v>2.4999999999999998E-2</v>
      </c>
      <c r="Q88" s="214">
        <f t="shared" ref="Q88" si="17">P88+$G$88</f>
        <v>2.7499999999999997E-2</v>
      </c>
      <c r="R88" s="214">
        <f t="shared" ref="R88" si="18">Q88+$G$88</f>
        <v>2.9999999999999995E-2</v>
      </c>
    </row>
    <row r="89" spans="2:29" x14ac:dyDescent="0.25">
      <c r="F89" s="214">
        <f>(F88-$F$83)/($F$86-$F$83)*$F$85</f>
        <v>-0.49032258064516121</v>
      </c>
      <c r="G89" s="214">
        <f t="shared" ref="G89:P89" si="19">(G88-$F$83)/($F$86-$F$83)*$F$85</f>
        <v>-0.36129032258064514</v>
      </c>
      <c r="H89" s="214">
        <f t="shared" si="19"/>
        <v>-0.23225806451612901</v>
      </c>
      <c r="I89" s="214">
        <f t="shared" si="19"/>
        <v>-0.1032258064516129</v>
      </c>
      <c r="J89" s="214">
        <f t="shared" si="19"/>
        <v>2.580645161290325E-2</v>
      </c>
      <c r="K89" s="214">
        <f t="shared" si="19"/>
        <v>0.15483870967741942</v>
      </c>
      <c r="L89" s="214">
        <f t="shared" si="19"/>
        <v>0.28387096774193554</v>
      </c>
      <c r="M89" s="214">
        <f t="shared" si="19"/>
        <v>0.41290322580645172</v>
      </c>
      <c r="N89" s="214">
        <f t="shared" si="19"/>
        <v>0.54193548387096768</v>
      </c>
      <c r="O89" s="214">
        <f t="shared" si="19"/>
        <v>0.67096774193548381</v>
      </c>
      <c r="P89" s="214">
        <f t="shared" si="19"/>
        <v>0.79999999999999982</v>
      </c>
      <c r="Q89" s="214">
        <f t="shared" ref="Q89:R89" si="20">(Q88-$F$83)/($F$86-$F$83)*$F$85</f>
        <v>0.92903225806451584</v>
      </c>
      <c r="R89" s="214">
        <f t="shared" si="20"/>
        <v>1.0580645161290321</v>
      </c>
    </row>
    <row r="90" spans="2:29" x14ac:dyDescent="0.25">
      <c r="F90" s="214">
        <f>$H$84*F89</f>
        <v>-0.16855607327771152</v>
      </c>
      <c r="G90" s="214">
        <f t="shared" ref="G90:P90" si="21">$H$84*G89</f>
        <v>-0.12419921188884009</v>
      </c>
      <c r="H90" s="214">
        <f t="shared" si="21"/>
        <v>-7.9842350499968628E-2</v>
      </c>
      <c r="I90" s="214">
        <f t="shared" si="21"/>
        <v>-3.5485489111097168E-2</v>
      </c>
      <c r="J90" s="214">
        <f t="shared" si="21"/>
        <v>8.8713722777743007E-3</v>
      </c>
      <c r="K90" s="214">
        <f t="shared" si="21"/>
        <v>5.3228233666645773E-2</v>
      </c>
      <c r="L90" s="214">
        <f t="shared" si="21"/>
        <v>9.758509505551724E-2</v>
      </c>
      <c r="M90" s="214">
        <f t="shared" si="21"/>
        <v>0.14194195644438873</v>
      </c>
      <c r="N90" s="214">
        <f t="shared" si="21"/>
        <v>0.18629881783326013</v>
      </c>
      <c r="O90" s="214">
        <f t="shared" si="21"/>
        <v>0.23065567922213159</v>
      </c>
      <c r="P90" s="214">
        <f t="shared" si="21"/>
        <v>0.275012540611003</v>
      </c>
      <c r="Q90" s="214">
        <f t="shared" ref="Q90:R90" si="22">$H$84*Q89</f>
        <v>0.3193694019998744</v>
      </c>
      <c r="R90" s="214">
        <f t="shared" si="22"/>
        <v>0.36372626338874592</v>
      </c>
    </row>
    <row r="91" spans="2:29" ht="15.75" thickBot="1" x14ac:dyDescent="0.3"/>
    <row r="92" spans="2:29" ht="15.75" thickBot="1" x14ac:dyDescent="0.3">
      <c r="D92" s="228" t="s">
        <v>391</v>
      </c>
      <c r="E92" s="144"/>
      <c r="F92" s="144"/>
      <c r="G92" s="144"/>
      <c r="H92" s="144" t="s">
        <v>392</v>
      </c>
      <c r="I92" s="144"/>
      <c r="J92" s="144"/>
      <c r="K92" s="144"/>
      <c r="L92" s="144"/>
      <c r="M92" s="145"/>
    </row>
    <row r="93" spans="2:29" x14ac:dyDescent="0.25">
      <c r="E93" s="2" t="s">
        <v>393</v>
      </c>
      <c r="F93" t="s">
        <v>394</v>
      </c>
      <c r="H93" t="s">
        <v>58</v>
      </c>
      <c r="J93" s="4" t="s">
        <v>395</v>
      </c>
      <c r="K93" s="1" t="s">
        <v>396</v>
      </c>
      <c r="L93" s="1" t="s">
        <v>397</v>
      </c>
      <c r="M93" s="1" t="s">
        <v>398</v>
      </c>
      <c r="N93" s="1" t="s">
        <v>399</v>
      </c>
      <c r="O93" s="195">
        <v>0</v>
      </c>
      <c r="P93" s="195">
        <f>O93+0.01</f>
        <v>0.01</v>
      </c>
      <c r="Q93" s="195">
        <f t="shared" ref="Q93:AC93" si="23">P93+0.01</f>
        <v>0.02</v>
      </c>
      <c r="R93" s="195">
        <f t="shared" si="23"/>
        <v>0.03</v>
      </c>
      <c r="S93" s="195">
        <f t="shared" si="23"/>
        <v>0.04</v>
      </c>
      <c r="T93" s="195">
        <f t="shared" si="23"/>
        <v>0.05</v>
      </c>
      <c r="U93" s="195">
        <f t="shared" si="23"/>
        <v>6.0000000000000005E-2</v>
      </c>
      <c r="V93" s="195">
        <f t="shared" si="23"/>
        <v>7.0000000000000007E-2</v>
      </c>
      <c r="W93" s="195">
        <f t="shared" si="23"/>
        <v>0.08</v>
      </c>
      <c r="X93" s="195">
        <f t="shared" si="23"/>
        <v>0.09</v>
      </c>
      <c r="Y93" s="195">
        <f t="shared" si="23"/>
        <v>9.9999999999999992E-2</v>
      </c>
      <c r="Z93" s="195">
        <f t="shared" si="23"/>
        <v>0.10999999999999999</v>
      </c>
      <c r="AA93" s="195">
        <f t="shared" si="23"/>
        <v>0.11999999999999998</v>
      </c>
      <c r="AB93" s="195">
        <f t="shared" si="23"/>
        <v>0.12999999999999998</v>
      </c>
      <c r="AC93" s="195">
        <f t="shared" si="23"/>
        <v>0.13999999999999999</v>
      </c>
    </row>
    <row r="94" spans="2:29" x14ac:dyDescent="0.25">
      <c r="B94" s="85" t="s">
        <v>400</v>
      </c>
      <c r="C94" s="140" t="s">
        <v>51</v>
      </c>
      <c r="D94" s="196">
        <v>1</v>
      </c>
      <c r="E94" s="142" t="s">
        <v>249</v>
      </c>
      <c r="F94" s="199">
        <f>14.6</f>
        <v>14.6</v>
      </c>
      <c r="G94" s="141" t="s">
        <v>369</v>
      </c>
      <c r="H94" s="196" t="s">
        <v>266</v>
      </c>
      <c r="I94" s="196" t="s">
        <v>401</v>
      </c>
      <c r="J94" s="200">
        <f>6*3.3/(6*8)</f>
        <v>0.41249999999999992</v>
      </c>
      <c r="K94" s="200">
        <v>0.55000000000000004</v>
      </c>
      <c r="L94" s="225">
        <v>0.35</v>
      </c>
      <c r="M94" s="226">
        <f>J94*K94*L94</f>
        <v>7.9406249999999984E-2</v>
      </c>
      <c r="O94" s="202">
        <f t="shared" ref="O94:AC98" si="24">(1-$F$100*(O$93-$M94)/$F$52^$F$101)</f>
        <v>0.54158089572550816</v>
      </c>
      <c r="P94" s="202">
        <f t="shared" si="24"/>
        <v>0.59931175498085554</v>
      </c>
      <c r="Q94" s="202">
        <f t="shared" si="24"/>
        <v>0.6570426142362028</v>
      </c>
      <c r="R94" s="202">
        <f t="shared" si="24"/>
        <v>0.71477347349155007</v>
      </c>
      <c r="S94" s="202">
        <f t="shared" si="24"/>
        <v>0.77250433274689723</v>
      </c>
      <c r="T94" s="202">
        <f t="shared" si="24"/>
        <v>0.8302351920022446</v>
      </c>
      <c r="U94" s="202">
        <f t="shared" si="24"/>
        <v>0.88796605125759187</v>
      </c>
      <c r="V94" s="202">
        <f t="shared" si="24"/>
        <v>0.94569691051293914</v>
      </c>
      <c r="W94" s="202">
        <f t="shared" si="24"/>
        <v>1.0034277697682863</v>
      </c>
      <c r="X94" s="202">
        <f t="shared" si="24"/>
        <v>1.0611586290236337</v>
      </c>
      <c r="Y94" s="202">
        <f t="shared" si="24"/>
        <v>1.1188894882789808</v>
      </c>
      <c r="Z94" s="202">
        <f t="shared" si="24"/>
        <v>1.176620347534328</v>
      </c>
      <c r="AA94" s="202">
        <f t="shared" si="24"/>
        <v>1.2343512067896754</v>
      </c>
      <c r="AB94" s="202">
        <f t="shared" si="24"/>
        <v>1.2920820660450225</v>
      </c>
      <c r="AC94" s="202">
        <f t="shared" si="24"/>
        <v>1.3498129253003699</v>
      </c>
    </row>
    <row r="95" spans="2:29" x14ac:dyDescent="0.25">
      <c r="B95" s="85" t="s">
        <v>398</v>
      </c>
      <c r="C95" s="140" t="s">
        <v>57</v>
      </c>
      <c r="D95" s="196">
        <v>2</v>
      </c>
      <c r="E95" s="142" t="s">
        <v>254</v>
      </c>
      <c r="F95" s="199">
        <f>8.4</f>
        <v>8.4</v>
      </c>
      <c r="G95" s="141" t="s">
        <v>369</v>
      </c>
      <c r="H95" s="196" t="s">
        <v>266</v>
      </c>
      <c r="I95" s="196" t="s">
        <v>401</v>
      </c>
      <c r="J95" s="227">
        <f>J94</f>
        <v>0.41249999999999992</v>
      </c>
      <c r="K95" s="200">
        <v>0.55000000000000004</v>
      </c>
      <c r="L95" s="225">
        <f>L94</f>
        <v>0.35</v>
      </c>
      <c r="M95" s="226">
        <f t="shared" ref="M95:M98" si="25">J95*K95*L95</f>
        <v>7.9406249999999984E-2</v>
      </c>
      <c r="O95" s="202">
        <f t="shared" si="24"/>
        <v>0.54158089572550816</v>
      </c>
      <c r="P95" s="202">
        <f t="shared" si="24"/>
        <v>0.59931175498085554</v>
      </c>
      <c r="Q95" s="202">
        <f t="shared" si="24"/>
        <v>0.6570426142362028</v>
      </c>
      <c r="R95" s="202">
        <f t="shared" si="24"/>
        <v>0.71477347349155007</v>
      </c>
      <c r="S95" s="202">
        <f t="shared" si="24"/>
        <v>0.77250433274689723</v>
      </c>
      <c r="T95" s="202">
        <f t="shared" si="24"/>
        <v>0.8302351920022446</v>
      </c>
      <c r="U95" s="202">
        <f t="shared" si="24"/>
        <v>0.88796605125759187</v>
      </c>
      <c r="V95" s="202">
        <f t="shared" si="24"/>
        <v>0.94569691051293914</v>
      </c>
      <c r="W95" s="202">
        <f t="shared" si="24"/>
        <v>1.0034277697682863</v>
      </c>
      <c r="X95" s="202">
        <f t="shared" si="24"/>
        <v>1.0611586290236337</v>
      </c>
      <c r="Y95" s="202">
        <f t="shared" si="24"/>
        <v>1.1188894882789808</v>
      </c>
      <c r="Z95" s="202">
        <f t="shared" si="24"/>
        <v>1.176620347534328</v>
      </c>
      <c r="AA95" s="202">
        <f t="shared" si="24"/>
        <v>1.2343512067896754</v>
      </c>
      <c r="AB95" s="202">
        <f t="shared" si="24"/>
        <v>1.2920820660450225</v>
      </c>
      <c r="AC95" s="202">
        <f t="shared" si="24"/>
        <v>1.3498129253003699</v>
      </c>
    </row>
    <row r="96" spans="2:29" x14ac:dyDescent="0.25">
      <c r="D96" s="196">
        <v>3</v>
      </c>
      <c r="E96" s="142" t="s">
        <v>256</v>
      </c>
      <c r="F96" s="199">
        <f>2.8</f>
        <v>2.8</v>
      </c>
      <c r="G96" s="141" t="s">
        <v>369</v>
      </c>
      <c r="H96" s="196" t="s">
        <v>266</v>
      </c>
      <c r="I96" s="196" t="s">
        <v>401</v>
      </c>
      <c r="J96" s="200">
        <f>(2*6*3.3)/(6*10)</f>
        <v>0.65999999999999992</v>
      </c>
      <c r="K96" s="200">
        <v>0.5</v>
      </c>
      <c r="L96" s="225">
        <f t="shared" ref="L96:L98" si="26">L95</f>
        <v>0.35</v>
      </c>
      <c r="M96" s="226">
        <f t="shared" si="25"/>
        <v>0.11549999999999998</v>
      </c>
      <c r="O96" s="202">
        <f t="shared" si="24"/>
        <v>0.33320857560073913</v>
      </c>
      <c r="P96" s="202">
        <f t="shared" si="24"/>
        <v>0.39093943485608651</v>
      </c>
      <c r="Q96" s="202">
        <f t="shared" si="24"/>
        <v>0.44867029411143378</v>
      </c>
      <c r="R96" s="202">
        <f t="shared" si="24"/>
        <v>0.50640115336678104</v>
      </c>
      <c r="S96" s="202">
        <f t="shared" si="24"/>
        <v>0.56413201262212831</v>
      </c>
      <c r="T96" s="202">
        <f t="shared" si="24"/>
        <v>0.62186287187747558</v>
      </c>
      <c r="U96" s="202">
        <f t="shared" si="24"/>
        <v>0.67959373113282284</v>
      </c>
      <c r="V96" s="202">
        <f t="shared" si="24"/>
        <v>0.73732459038817011</v>
      </c>
      <c r="W96" s="202">
        <f t="shared" si="24"/>
        <v>0.79505544964351738</v>
      </c>
      <c r="X96" s="202">
        <f t="shared" si="24"/>
        <v>0.85278630889886453</v>
      </c>
      <c r="Y96" s="202">
        <f t="shared" si="24"/>
        <v>0.9105171681542118</v>
      </c>
      <c r="Z96" s="202">
        <f t="shared" si="24"/>
        <v>0.96824802740955906</v>
      </c>
      <c r="AA96" s="202">
        <f t="shared" si="24"/>
        <v>1.0259788866649062</v>
      </c>
      <c r="AB96" s="202">
        <f t="shared" si="24"/>
        <v>1.0837097459202536</v>
      </c>
      <c r="AC96" s="202">
        <f t="shared" si="24"/>
        <v>1.141440605175601</v>
      </c>
    </row>
    <row r="97" spans="2:29" x14ac:dyDescent="0.25">
      <c r="D97" s="196">
        <v>4</v>
      </c>
      <c r="E97" s="142" t="s">
        <v>259</v>
      </c>
      <c r="F97" s="199">
        <f>21.2</f>
        <v>21.2</v>
      </c>
      <c r="G97" s="141" t="s">
        <v>369</v>
      </c>
      <c r="H97" s="196" t="s">
        <v>266</v>
      </c>
      <c r="I97" s="196" t="s">
        <v>402</v>
      </c>
      <c r="J97" s="200">
        <f>((6+6)*3.3/(6*8))</f>
        <v>0.82499999999999984</v>
      </c>
      <c r="K97" s="200">
        <v>0.45</v>
      </c>
      <c r="L97" s="225">
        <f t="shared" si="26"/>
        <v>0.35</v>
      </c>
      <c r="M97" s="226">
        <f t="shared" si="25"/>
        <v>0.12993749999999996</v>
      </c>
      <c r="O97" s="202">
        <f t="shared" si="24"/>
        <v>0.24985964755083168</v>
      </c>
      <c r="P97" s="202">
        <f t="shared" si="24"/>
        <v>0.30759050680617894</v>
      </c>
      <c r="Q97" s="202">
        <f t="shared" si="24"/>
        <v>0.36532136606152632</v>
      </c>
      <c r="R97" s="202">
        <f t="shared" si="24"/>
        <v>0.42305222531687348</v>
      </c>
      <c r="S97" s="202">
        <f t="shared" si="24"/>
        <v>0.48078308457222085</v>
      </c>
      <c r="T97" s="202">
        <f t="shared" si="24"/>
        <v>0.53851394382756801</v>
      </c>
      <c r="U97" s="202">
        <f t="shared" si="24"/>
        <v>0.59624480308291528</v>
      </c>
      <c r="V97" s="202">
        <f t="shared" si="24"/>
        <v>0.65397566233826265</v>
      </c>
      <c r="W97" s="202">
        <f t="shared" si="24"/>
        <v>0.71170652159360981</v>
      </c>
      <c r="X97" s="202">
        <f t="shared" si="24"/>
        <v>0.76943738084895708</v>
      </c>
      <c r="Y97" s="202">
        <f t="shared" si="24"/>
        <v>0.82716824010430434</v>
      </c>
      <c r="Z97" s="202">
        <f t="shared" si="24"/>
        <v>0.88489909935965161</v>
      </c>
      <c r="AA97" s="202">
        <f t="shared" si="24"/>
        <v>0.94262995861499876</v>
      </c>
      <c r="AB97" s="202">
        <f t="shared" si="24"/>
        <v>1.000360817870346</v>
      </c>
      <c r="AC97" s="202">
        <f t="shared" si="24"/>
        <v>1.0580916771256934</v>
      </c>
    </row>
    <row r="98" spans="2:29" x14ac:dyDescent="0.25">
      <c r="D98" s="196">
        <v>5</v>
      </c>
      <c r="E98" s="142" t="s">
        <v>257</v>
      </c>
      <c r="F98" s="199">
        <f>9.7</f>
        <v>9.6999999999999993</v>
      </c>
      <c r="G98" s="141" t="s">
        <v>369</v>
      </c>
      <c r="H98" s="196" t="s">
        <v>266</v>
      </c>
      <c r="I98" s="196" t="s">
        <v>402</v>
      </c>
      <c r="J98" s="227">
        <f>J97</f>
        <v>0.82499999999999984</v>
      </c>
      <c r="K98" s="200">
        <v>0.45</v>
      </c>
      <c r="L98" s="225">
        <f t="shared" si="26"/>
        <v>0.35</v>
      </c>
      <c r="M98" s="226">
        <f t="shared" si="25"/>
        <v>0.12993749999999996</v>
      </c>
      <c r="O98" s="202">
        <f t="shared" si="24"/>
        <v>0.24985964755083168</v>
      </c>
      <c r="P98" s="202">
        <f t="shared" si="24"/>
        <v>0.30759050680617894</v>
      </c>
      <c r="Q98" s="202">
        <f t="shared" si="24"/>
        <v>0.36532136606152632</v>
      </c>
      <c r="R98" s="202">
        <f t="shared" si="24"/>
        <v>0.42305222531687348</v>
      </c>
      <c r="S98" s="202">
        <f t="shared" si="24"/>
        <v>0.48078308457222085</v>
      </c>
      <c r="T98" s="202">
        <f t="shared" si="24"/>
        <v>0.53851394382756801</v>
      </c>
      <c r="U98" s="202">
        <f t="shared" si="24"/>
        <v>0.59624480308291528</v>
      </c>
      <c r="V98" s="202">
        <f t="shared" si="24"/>
        <v>0.65397566233826265</v>
      </c>
      <c r="W98" s="202">
        <f t="shared" si="24"/>
        <v>0.71170652159360981</v>
      </c>
      <c r="X98" s="202">
        <f t="shared" si="24"/>
        <v>0.76943738084895708</v>
      </c>
      <c r="Y98" s="202">
        <f t="shared" si="24"/>
        <v>0.82716824010430434</v>
      </c>
      <c r="Z98" s="202">
        <f t="shared" si="24"/>
        <v>0.88489909935965161</v>
      </c>
      <c r="AA98" s="202">
        <f t="shared" si="24"/>
        <v>0.94262995861499876</v>
      </c>
      <c r="AB98" s="202">
        <f t="shared" si="24"/>
        <v>1.000360817870346</v>
      </c>
      <c r="AC98" s="202">
        <f t="shared" si="24"/>
        <v>1.0580916771256934</v>
      </c>
    </row>
    <row r="99" spans="2:29" x14ac:dyDescent="0.25">
      <c r="E99" t="s">
        <v>403</v>
      </c>
    </row>
    <row r="100" spans="2:29" x14ac:dyDescent="0.25">
      <c r="B100" s="85" t="s">
        <v>404</v>
      </c>
      <c r="E100" s="4" t="s">
        <v>405</v>
      </c>
      <c r="F100" s="195">
        <v>-0.85</v>
      </c>
      <c r="G100" s="195">
        <v>-1.5</v>
      </c>
    </row>
    <row r="101" spans="2:29" x14ac:dyDescent="0.25">
      <c r="B101" s="85" t="s">
        <v>406</v>
      </c>
      <c r="E101" s="4" t="s">
        <v>407</v>
      </c>
      <c r="F101" s="140">
        <v>0.85</v>
      </c>
      <c r="G101" s="140">
        <v>0.72</v>
      </c>
    </row>
    <row r="102" spans="2:29" x14ac:dyDescent="0.25">
      <c r="E102" s="4"/>
      <c r="F102" s="140"/>
    </row>
    <row r="103" spans="2:29" x14ac:dyDescent="0.25">
      <c r="E103" s="4" t="s">
        <v>408</v>
      </c>
      <c r="F103" s="195">
        <f>OppervlakGlasInBuitengevel_value*ZTAZonderZonwering_value/input_GrootteApartement_value</f>
        <v>6.5624999999999989E-2</v>
      </c>
    </row>
    <row r="104" spans="2:29" x14ac:dyDescent="0.25">
      <c r="C104" s="140" t="s">
        <v>51</v>
      </c>
      <c r="E104" s="4" t="s">
        <v>409</v>
      </c>
      <c r="F104" s="195">
        <f>VLOOKUP(input_TypeApartement_value,Koel_tabel,10)</f>
        <v>0.12993749999999996</v>
      </c>
    </row>
    <row r="105" spans="2:29" x14ac:dyDescent="0.25">
      <c r="B105" s="85" t="s">
        <v>410</v>
      </c>
      <c r="C105" s="229" t="s">
        <v>411</v>
      </c>
      <c r="E105" s="4" t="s">
        <v>412</v>
      </c>
      <c r="F105" s="202">
        <f>(1-$F$100*(F$103-$F104)/$F$52^$F$101)</f>
        <v>0.62871841141404805</v>
      </c>
    </row>
    <row r="106" spans="2:29" x14ac:dyDescent="0.25">
      <c r="B106" s="85" t="s">
        <v>400</v>
      </c>
      <c r="E106" s="4" t="s">
        <v>413</v>
      </c>
      <c r="F106" s="140">
        <f>VLOOKUP(input_TypeApartement_value,Koel_tabel,3)</f>
        <v>9.6999999999999993</v>
      </c>
    </row>
    <row r="107" spans="2:29" x14ac:dyDescent="0.25">
      <c r="B107" s="85" t="s">
        <v>414</v>
      </c>
      <c r="C107" s="140" t="s">
        <v>415</v>
      </c>
      <c r="E107" s="4" t="s">
        <v>416</v>
      </c>
      <c r="F107" s="68">
        <f>VLOOKUP(Invoer!$F$4,Koel_orientatie,Invoer!$F$6+2)</f>
        <v>1</v>
      </c>
    </row>
    <row r="108" spans="2:29" x14ac:dyDescent="0.25">
      <c r="E108" s="4"/>
      <c r="F108" s="140"/>
    </row>
    <row r="109" spans="2:29" x14ac:dyDescent="0.25">
      <c r="E109" s="4"/>
      <c r="F109" s="140"/>
    </row>
    <row r="110" spans="2:29" x14ac:dyDescent="0.25">
      <c r="E110" s="4"/>
      <c r="F110" s="140"/>
    </row>
    <row r="111" spans="2:29" x14ac:dyDescent="0.25">
      <c r="E111" s="4" t="s">
        <v>417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2:29" x14ac:dyDescent="0.25">
      <c r="F112" s="1" t="s">
        <v>418</v>
      </c>
      <c r="G112" s="1" t="s">
        <v>419</v>
      </c>
      <c r="H112" t="s">
        <v>420</v>
      </c>
      <c r="K112" s="2"/>
      <c r="M112" s="6"/>
      <c r="N112" s="4"/>
      <c r="O112" s="1"/>
      <c r="Q112" s="1"/>
      <c r="S112" s="1"/>
    </row>
    <row r="113" spans="2:19" x14ac:dyDescent="0.25">
      <c r="D113" s="1">
        <v>1</v>
      </c>
      <c r="E113" s="4" t="s">
        <v>421</v>
      </c>
      <c r="F113" s="1">
        <v>150</v>
      </c>
      <c r="G113" s="6">
        <v>0.8</v>
      </c>
      <c r="H113" s="6">
        <v>0.9</v>
      </c>
      <c r="N113" s="4"/>
      <c r="O113" s="6"/>
      <c r="Q113" s="6"/>
      <c r="S113" s="6"/>
    </row>
    <row r="114" spans="2:19" x14ac:dyDescent="0.25">
      <c r="D114" s="1">
        <v>2</v>
      </c>
      <c r="E114" s="4" t="s">
        <v>305</v>
      </c>
      <c r="F114" s="1">
        <v>175</v>
      </c>
      <c r="G114" s="6">
        <v>0.85</v>
      </c>
      <c r="H114" s="6">
        <v>0.93</v>
      </c>
    </row>
    <row r="115" spans="2:19" x14ac:dyDescent="0.25">
      <c r="D115" s="1">
        <v>3</v>
      </c>
      <c r="E115" s="4" t="s">
        <v>306</v>
      </c>
      <c r="F115" s="1">
        <v>250</v>
      </c>
      <c r="G115" s="6">
        <v>1</v>
      </c>
      <c r="H115" s="6">
        <v>0.95</v>
      </c>
    </row>
    <row r="116" spans="2:19" x14ac:dyDescent="0.25">
      <c r="D116" s="1">
        <v>4</v>
      </c>
      <c r="E116" s="4" t="s">
        <v>307</v>
      </c>
      <c r="F116" s="1">
        <v>350</v>
      </c>
      <c r="G116" s="6">
        <v>1.1499999999999999</v>
      </c>
      <c r="H116" s="6">
        <v>1</v>
      </c>
    </row>
    <row r="117" spans="2:19" x14ac:dyDescent="0.25">
      <c r="D117" s="1">
        <v>5</v>
      </c>
      <c r="E117" s="4" t="s">
        <v>308</v>
      </c>
      <c r="F117" s="1">
        <v>450</v>
      </c>
      <c r="G117" s="6">
        <v>1.25</v>
      </c>
      <c r="H117" s="6">
        <v>1.1000000000000001</v>
      </c>
    </row>
    <row r="120" spans="2:19" x14ac:dyDescent="0.25">
      <c r="E120" s="4" t="s">
        <v>422</v>
      </c>
      <c r="F120" s="1" t="s">
        <v>423</v>
      </c>
      <c r="G120" s="1" t="s">
        <v>424</v>
      </c>
    </row>
    <row r="121" spans="2:19" x14ac:dyDescent="0.25">
      <c r="B121" s="85" t="s">
        <v>425</v>
      </c>
      <c r="D121" s="196">
        <v>1</v>
      </c>
      <c r="E121" s="142" t="s">
        <v>322</v>
      </c>
      <c r="F121" s="223">
        <v>0</v>
      </c>
      <c r="G121" s="128">
        <f>Tabellen!D36</f>
        <v>0</v>
      </c>
      <c r="H121" s="1"/>
    </row>
    <row r="122" spans="2:19" x14ac:dyDescent="0.25">
      <c r="B122" s="85" t="s">
        <v>426</v>
      </c>
      <c r="D122" s="196">
        <v>2</v>
      </c>
      <c r="E122" s="224" t="s">
        <v>427</v>
      </c>
      <c r="F122" s="223">
        <v>0.1</v>
      </c>
      <c r="G122" s="128">
        <f>(1+F122)/(1+F123)*G123</f>
        <v>0.22000000000000006</v>
      </c>
      <c r="H122" s="1"/>
    </row>
    <row r="123" spans="2:19" x14ac:dyDescent="0.25">
      <c r="D123" s="196">
        <v>3</v>
      </c>
      <c r="E123" s="224" t="s">
        <v>428</v>
      </c>
      <c r="F123" s="223">
        <v>-0.1</v>
      </c>
      <c r="G123" s="128">
        <f>VLOOKUP(Ventilatiesysteem_value,Tabellen!E42:K45,4)*(1+F123)</f>
        <v>0.18000000000000002</v>
      </c>
      <c r="H123" s="1"/>
    </row>
    <row r="125" spans="2:19" x14ac:dyDescent="0.25">
      <c r="E125" s="4" t="s">
        <v>429</v>
      </c>
      <c r="L125" s="1"/>
      <c r="M125" s="1"/>
    </row>
    <row r="126" spans="2:19" x14ac:dyDescent="0.25">
      <c r="D126" s="1">
        <v>1</v>
      </c>
      <c r="E126" t="s">
        <v>300</v>
      </c>
      <c r="F126" s="6">
        <v>0.44</v>
      </c>
    </row>
    <row r="127" spans="2:19" x14ac:dyDescent="0.25">
      <c r="D127" s="1">
        <v>2</v>
      </c>
      <c r="E127" t="s">
        <v>301</v>
      </c>
      <c r="F127" s="6">
        <v>0.37</v>
      </c>
      <c r="G127" s="6"/>
    </row>
    <row r="128" spans="2:19" x14ac:dyDescent="0.25">
      <c r="D128" s="1">
        <v>3</v>
      </c>
      <c r="E128" s="2" t="s">
        <v>302</v>
      </c>
      <c r="F128" s="6">
        <v>-0.1</v>
      </c>
      <c r="G128" s="6"/>
    </row>
    <row r="129" spans="4:23" x14ac:dyDescent="0.25">
      <c r="D129" s="1">
        <v>4</v>
      </c>
      <c r="E129" t="s">
        <v>303</v>
      </c>
      <c r="F129" s="6">
        <v>0</v>
      </c>
      <c r="G129" s="6"/>
    </row>
    <row r="130" spans="4:23" x14ac:dyDescent="0.25">
      <c r="F130" s="6"/>
      <c r="G130" s="6"/>
    </row>
    <row r="131" spans="4:23" x14ac:dyDescent="0.25">
      <c r="F131" s="6"/>
      <c r="G131" s="6"/>
    </row>
    <row r="132" spans="4:23" x14ac:dyDescent="0.25">
      <c r="D132" s="2" t="s">
        <v>430</v>
      </c>
      <c r="F132" s="6">
        <v>0.4</v>
      </c>
      <c r="G132" s="6"/>
    </row>
    <row r="133" spans="4:23" x14ac:dyDescent="0.25">
      <c r="D133" s="2" t="s">
        <v>431</v>
      </c>
      <c r="F133" s="6">
        <v>0.6</v>
      </c>
      <c r="G133" s="6"/>
    </row>
    <row r="134" spans="4:23" x14ac:dyDescent="0.25">
      <c r="D134" s="35" t="s">
        <v>432</v>
      </c>
      <c r="E134" s="6"/>
      <c r="F134" t="s">
        <v>433</v>
      </c>
      <c r="G134" s="43" t="s">
        <v>434</v>
      </c>
      <c r="H134" t="s">
        <v>435</v>
      </c>
      <c r="I134" s="36" t="s">
        <v>436</v>
      </c>
      <c r="J134" s="36" t="s">
        <v>437</v>
      </c>
    </row>
    <row r="135" spans="4:23" x14ac:dyDescent="0.25">
      <c r="D135"/>
      <c r="E135" s="4" t="s">
        <v>438</v>
      </c>
      <c r="F135" s="205">
        <v>10.7</v>
      </c>
      <c r="G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4:23" x14ac:dyDescent="0.25">
      <c r="D136"/>
      <c r="E136" s="4" t="s">
        <v>439</v>
      </c>
      <c r="F136">
        <v>11.37</v>
      </c>
      <c r="G136" s="41">
        <v>2551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4:23" x14ac:dyDescent="0.25">
      <c r="D137"/>
      <c r="E137" s="4">
        <v>2050</v>
      </c>
      <c r="F137">
        <v>13.05</v>
      </c>
      <c r="G137" s="41">
        <v>4545</v>
      </c>
      <c r="H137" s="1">
        <f>F137-F136</f>
        <v>1.6800000000000015</v>
      </c>
      <c r="I137" s="41">
        <f>(G137-G136)/H137</f>
        <v>1186.9047619047608</v>
      </c>
      <c r="J137" s="231">
        <f>I137/G136</f>
        <v>0.46527038882977689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4:23" x14ac:dyDescent="0.25">
      <c r="D13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4:23" x14ac:dyDescent="0.25">
      <c r="L139" s="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1" spans="4:23" x14ac:dyDescent="0.25">
      <c r="E141" s="35" t="s">
        <v>440</v>
      </c>
    </row>
    <row r="143" spans="4:23" x14ac:dyDescent="0.25">
      <c r="E143" t="s">
        <v>441</v>
      </c>
    </row>
    <row r="144" spans="4:23" x14ac:dyDescent="0.25">
      <c r="E144" t="s">
        <v>442</v>
      </c>
      <c r="F144" s="1">
        <v>45</v>
      </c>
      <c r="G144" t="s">
        <v>369</v>
      </c>
    </row>
    <row r="146" spans="4:7" x14ac:dyDescent="0.25">
      <c r="E146" s="2" t="s">
        <v>443</v>
      </c>
      <c r="F146" s="1"/>
      <c r="G146" s="1"/>
    </row>
    <row r="147" spans="4:7" x14ac:dyDescent="0.25">
      <c r="F147" s="1" t="s">
        <v>418</v>
      </c>
      <c r="G147" s="1" t="s">
        <v>444</v>
      </c>
    </row>
    <row r="148" spans="4:7" x14ac:dyDescent="0.25">
      <c r="D148" s="1">
        <v>1</v>
      </c>
      <c r="E148" s="4" t="s">
        <v>304</v>
      </c>
      <c r="F148" s="1">
        <v>150</v>
      </c>
      <c r="G148" s="6">
        <v>0.93</v>
      </c>
    </row>
    <row r="149" spans="4:7" x14ac:dyDescent="0.25">
      <c r="D149" s="1">
        <v>2</v>
      </c>
      <c r="E149" s="4" t="s">
        <v>305</v>
      </c>
      <c r="F149" s="1">
        <v>175</v>
      </c>
      <c r="G149" s="6">
        <v>0.97</v>
      </c>
    </row>
    <row r="150" spans="4:7" x14ac:dyDescent="0.25">
      <c r="D150" s="1">
        <v>3</v>
      </c>
      <c r="E150" s="4" t="s">
        <v>306</v>
      </c>
      <c r="F150" s="1">
        <v>250</v>
      </c>
      <c r="G150" s="6">
        <v>1</v>
      </c>
    </row>
    <row r="151" spans="4:7" x14ac:dyDescent="0.25">
      <c r="D151" s="1">
        <v>4</v>
      </c>
      <c r="E151" s="4" t="s">
        <v>307</v>
      </c>
      <c r="F151" s="1">
        <v>350</v>
      </c>
      <c r="G151" s="6">
        <v>1.03</v>
      </c>
    </row>
    <row r="152" spans="4:7" x14ac:dyDescent="0.25">
      <c r="D152" s="1">
        <v>5</v>
      </c>
      <c r="E152" s="4" t="s">
        <v>308</v>
      </c>
      <c r="F152" s="1">
        <v>450</v>
      </c>
      <c r="G152" s="6">
        <v>1.05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42F3-C3B5-4ED8-8C20-F244CBE96B24}">
  <dimension ref="A2:Z114"/>
  <sheetViews>
    <sheetView topLeftCell="B1" zoomScaleNormal="100" workbookViewId="0">
      <selection activeCell="F90" sqref="F90"/>
    </sheetView>
  </sheetViews>
  <sheetFormatPr defaultRowHeight="15" x14ac:dyDescent="0.25"/>
  <cols>
    <col min="1" max="1" width="14" style="85" customWidth="1"/>
    <col min="2" max="2" width="13.28515625" style="140" customWidth="1"/>
    <col min="3" max="3" width="24" customWidth="1"/>
    <col min="4" max="11" width="10.7109375" customWidth="1"/>
    <col min="12" max="12" width="9.5703125" bestFit="1" customWidth="1"/>
  </cols>
  <sheetData>
    <row r="2" spans="3:26" ht="15.75" thickBot="1" x14ac:dyDescent="0.3"/>
    <row r="3" spans="3:26" ht="15.75" thickBot="1" x14ac:dyDescent="0.3">
      <c r="C3" s="8" t="s">
        <v>445</v>
      </c>
      <c r="D3" s="9"/>
      <c r="E3" s="9"/>
      <c r="F3" s="9"/>
      <c r="G3" s="9"/>
      <c r="H3" s="9"/>
      <c r="I3" s="9"/>
      <c r="J3" s="9"/>
      <c r="K3" s="10"/>
      <c r="M3" s="8"/>
      <c r="N3" s="9"/>
      <c r="O3" s="9"/>
      <c r="P3" s="9"/>
      <c r="Q3" s="9"/>
      <c r="R3" s="9"/>
      <c r="S3" s="9"/>
      <c r="T3" s="10"/>
    </row>
    <row r="4" spans="3:26" ht="15.75" thickBot="1" x14ac:dyDescent="0.3">
      <c r="C4" s="11"/>
      <c r="D4" s="20" t="s">
        <v>446</v>
      </c>
      <c r="E4" s="21"/>
      <c r="F4" s="9" t="s">
        <v>437</v>
      </c>
      <c r="G4" s="10" t="s">
        <v>122</v>
      </c>
      <c r="I4" s="8"/>
      <c r="J4" s="131" t="s">
        <v>447</v>
      </c>
      <c r="K4" s="10"/>
      <c r="M4" s="11"/>
      <c r="P4" t="s">
        <v>448</v>
      </c>
      <c r="Q4" t="s">
        <v>449</v>
      </c>
      <c r="R4" t="s">
        <v>450</v>
      </c>
      <c r="T4" s="12"/>
    </row>
    <row r="5" spans="3:26" x14ac:dyDescent="0.25">
      <c r="C5" s="11"/>
      <c r="D5" s="22" t="s">
        <v>451</v>
      </c>
      <c r="E5" s="1" t="s">
        <v>452</v>
      </c>
      <c r="G5" s="12" t="s">
        <v>453</v>
      </c>
      <c r="I5" s="22" t="s">
        <v>453</v>
      </c>
      <c r="J5" s="140" t="s">
        <v>454</v>
      </c>
      <c r="K5" s="13"/>
      <c r="M5" s="11"/>
      <c r="O5" s="28" t="s">
        <v>455</v>
      </c>
      <c r="P5" s="29">
        <v>13</v>
      </c>
      <c r="Q5" s="29">
        <v>15</v>
      </c>
      <c r="R5" s="29">
        <v>18</v>
      </c>
      <c r="S5" s="9" t="s">
        <v>456</v>
      </c>
      <c r="T5" s="12"/>
    </row>
    <row r="6" spans="3:26" x14ac:dyDescent="0.25">
      <c r="C6" s="11"/>
      <c r="D6" s="22">
        <v>55</v>
      </c>
      <c r="E6" s="1">
        <v>105</v>
      </c>
      <c r="F6" s="14">
        <v>0.34543942334349875</v>
      </c>
      <c r="G6" s="23">
        <v>6230</v>
      </c>
      <c r="I6" s="24">
        <f>G6</f>
        <v>6230</v>
      </c>
      <c r="J6" s="128">
        <v>1.5</v>
      </c>
      <c r="K6" s="15">
        <v>4153.333333333333</v>
      </c>
      <c r="M6" s="11"/>
      <c r="O6" s="4" t="s">
        <v>457</v>
      </c>
      <c r="P6" s="7">
        <v>8</v>
      </c>
      <c r="Q6" s="7">
        <v>9</v>
      </c>
      <c r="R6" s="7">
        <v>9</v>
      </c>
      <c r="T6" s="12"/>
    </row>
    <row r="7" spans="3:26" x14ac:dyDescent="0.25">
      <c r="C7" s="11"/>
      <c r="D7" s="22">
        <v>30</v>
      </c>
      <c r="E7" s="1">
        <v>55</v>
      </c>
      <c r="F7" s="14">
        <v>0.31699473246465198</v>
      </c>
      <c r="G7" s="23">
        <v>5716.9999999999982</v>
      </c>
      <c r="I7" s="24">
        <f>G7+G9</f>
        <v>9434</v>
      </c>
      <c r="J7" s="128">
        <v>3.5</v>
      </c>
      <c r="K7" s="15">
        <v>2695.4285714285716</v>
      </c>
      <c r="M7" s="11"/>
      <c r="O7" s="4" t="s">
        <v>458</v>
      </c>
      <c r="P7" s="7">
        <v>5</v>
      </c>
      <c r="Q7" s="7">
        <v>6</v>
      </c>
      <c r="R7" s="7">
        <v>9</v>
      </c>
      <c r="T7" s="12"/>
    </row>
    <row r="8" spans="3:26" x14ac:dyDescent="0.25">
      <c r="C8" s="11"/>
      <c r="D8" s="22">
        <v>20</v>
      </c>
      <c r="E8" s="1">
        <v>30</v>
      </c>
      <c r="F8" s="14">
        <v>0.13146659273634601</v>
      </c>
      <c r="G8" s="23">
        <v>2371</v>
      </c>
      <c r="I8" s="24">
        <f>G8</f>
        <v>2371</v>
      </c>
      <c r="J8" s="128">
        <v>1.4</v>
      </c>
      <c r="K8" s="15">
        <v>1693.5714285714287</v>
      </c>
      <c r="M8" s="11"/>
      <c r="O8" s="4" t="s">
        <v>459</v>
      </c>
      <c r="P8" s="7">
        <v>0.7</v>
      </c>
      <c r="Q8" s="7">
        <v>0.6</v>
      </c>
      <c r="R8" s="7">
        <v>0.85</v>
      </c>
      <c r="T8" s="12"/>
    </row>
    <row r="9" spans="3:26" ht="19.5" x14ac:dyDescent="0.55000000000000004">
      <c r="C9" s="11"/>
      <c r="D9" s="22">
        <v>0</v>
      </c>
      <c r="E9" s="1">
        <v>20</v>
      </c>
      <c r="F9" s="14">
        <v>0.20609925145550323</v>
      </c>
      <c r="G9" s="23">
        <v>3717.0000000000009</v>
      </c>
      <c r="I9" s="22"/>
      <c r="J9" s="1"/>
      <c r="K9" s="13"/>
      <c r="M9" s="11"/>
      <c r="O9" s="4" t="s">
        <v>460</v>
      </c>
      <c r="P9" s="127">
        <f>P6+P7/P8</f>
        <v>15.142857142857142</v>
      </c>
      <c r="Q9" s="127">
        <f t="shared" ref="Q9:R9" si="0">Q6+Q7/Q8</f>
        <v>19</v>
      </c>
      <c r="R9" s="127">
        <f t="shared" si="0"/>
        <v>19.588235294117645</v>
      </c>
      <c r="S9" s="140" t="s">
        <v>461</v>
      </c>
      <c r="T9" s="12"/>
    </row>
    <row r="10" spans="3:26" ht="20.25" thickBot="1" x14ac:dyDescent="0.6">
      <c r="C10" s="11"/>
      <c r="D10" s="16"/>
      <c r="E10" s="17"/>
      <c r="F10" s="17"/>
      <c r="G10" s="19"/>
      <c r="I10" s="25"/>
      <c r="J10" s="26">
        <f>SUMPRODUCT(K6:K8,J6:J8)/F12</f>
        <v>2.1</v>
      </c>
      <c r="K10" s="27">
        <v>8542.3333333333339</v>
      </c>
      <c r="M10" s="11"/>
      <c r="O10" s="4" t="s">
        <v>462</v>
      </c>
      <c r="P10" s="127">
        <f>(P6*J8+P7*P8*J8)/P5</f>
        <v>1.2384615384615383</v>
      </c>
      <c r="Q10" s="127">
        <f>(Q6*J7+Q7*Q8*J7)/Q5</f>
        <v>2.9399999999999995</v>
      </c>
      <c r="R10" s="127">
        <f>(R6*J6+R7*R8*J6)/R5</f>
        <v>1.3875000000000002</v>
      </c>
      <c r="S10" s="140" t="s">
        <v>463</v>
      </c>
      <c r="T10" s="12"/>
    </row>
    <row r="11" spans="3:26" ht="15.75" thickBot="1" x14ac:dyDescent="0.3">
      <c r="C11" s="11"/>
      <c r="K11" s="12"/>
      <c r="M11" s="11"/>
      <c r="O11" t="s">
        <v>464</v>
      </c>
      <c r="S11" s="1">
        <v>2.1</v>
      </c>
      <c r="T11" s="12"/>
    </row>
    <row r="12" spans="3:26" x14ac:dyDescent="0.25">
      <c r="C12" s="11"/>
      <c r="D12" s="8"/>
      <c r="E12" s="28" t="s">
        <v>465</v>
      </c>
      <c r="F12" s="129">
        <f>F13/G12</f>
        <v>8588.0952380952385</v>
      </c>
      <c r="G12" s="9">
        <v>2.1</v>
      </c>
      <c r="H12" s="9"/>
      <c r="I12" s="9"/>
      <c r="J12" s="9"/>
      <c r="K12" s="10"/>
      <c r="M12" s="11"/>
      <c r="T12" s="12"/>
    </row>
    <row r="13" spans="3:26" ht="15.75" thickBot="1" x14ac:dyDescent="0.3">
      <c r="C13" s="16"/>
      <c r="D13" s="16"/>
      <c r="E13" s="18" t="s">
        <v>466</v>
      </c>
      <c r="F13" s="130">
        <f>SUM(G6:G9)</f>
        <v>18035</v>
      </c>
      <c r="G13" s="17"/>
      <c r="H13" s="17"/>
      <c r="I13" s="17"/>
      <c r="J13" s="17"/>
      <c r="K13" s="19"/>
      <c r="M13" s="16"/>
      <c r="N13" s="17"/>
      <c r="O13" s="17"/>
      <c r="P13" s="17"/>
      <c r="Q13" s="17"/>
      <c r="R13" s="17"/>
      <c r="S13" s="17"/>
      <c r="T13" s="19"/>
    </row>
    <row r="15" spans="3:26" ht="15.75" thickBot="1" x14ac:dyDescent="0.3"/>
    <row r="16" spans="3:26" ht="15.75" thickBot="1" x14ac:dyDescent="0.3">
      <c r="C16" s="126"/>
      <c r="D16" s="123" t="s">
        <v>123</v>
      </c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5"/>
    </row>
    <row r="17" spans="1:26" x14ac:dyDescent="0.25">
      <c r="C17" s="8" t="s">
        <v>467</v>
      </c>
      <c r="D17" s="138">
        <v>40</v>
      </c>
      <c r="E17" s="138">
        <f>D17+5</f>
        <v>45</v>
      </c>
      <c r="F17" s="138">
        <f t="shared" ref="F17:Y17" si="1">E17+5</f>
        <v>50</v>
      </c>
      <c r="G17" s="138">
        <f t="shared" si="1"/>
        <v>55</v>
      </c>
      <c r="H17" s="138">
        <f t="shared" si="1"/>
        <v>60</v>
      </c>
      <c r="I17" s="138">
        <f t="shared" si="1"/>
        <v>65</v>
      </c>
      <c r="J17" s="138">
        <f t="shared" si="1"/>
        <v>70</v>
      </c>
      <c r="K17" s="138">
        <f t="shared" si="1"/>
        <v>75</v>
      </c>
      <c r="L17" s="138">
        <f t="shared" si="1"/>
        <v>80</v>
      </c>
      <c r="M17" s="138">
        <f t="shared" si="1"/>
        <v>85</v>
      </c>
      <c r="N17" s="138">
        <f t="shared" si="1"/>
        <v>90</v>
      </c>
      <c r="O17" s="138">
        <f t="shared" si="1"/>
        <v>95</v>
      </c>
      <c r="P17" s="138">
        <f t="shared" si="1"/>
        <v>100</v>
      </c>
      <c r="Q17" s="138">
        <f>P17+5</f>
        <v>105</v>
      </c>
      <c r="R17" s="138">
        <f t="shared" si="1"/>
        <v>110</v>
      </c>
      <c r="S17" s="138">
        <f t="shared" si="1"/>
        <v>115</v>
      </c>
      <c r="T17" s="138">
        <f t="shared" si="1"/>
        <v>120</v>
      </c>
      <c r="U17" s="138">
        <f t="shared" si="1"/>
        <v>125</v>
      </c>
      <c r="V17" s="138">
        <f t="shared" si="1"/>
        <v>130</v>
      </c>
      <c r="W17" s="138">
        <f t="shared" si="1"/>
        <v>135</v>
      </c>
      <c r="X17" s="138">
        <f>W17+5</f>
        <v>140</v>
      </c>
      <c r="Y17" s="138">
        <f t="shared" si="1"/>
        <v>145</v>
      </c>
      <c r="Z17" s="139">
        <f>Y17+5</f>
        <v>150</v>
      </c>
    </row>
    <row r="18" spans="1:26" x14ac:dyDescent="0.25">
      <c r="C18" s="11" t="s">
        <v>468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2"/>
    </row>
    <row r="19" spans="1:26" x14ac:dyDescent="0.25">
      <c r="C19" s="22" t="s">
        <v>469</v>
      </c>
      <c r="D19" s="132">
        <f t="shared" ref="D19:Z19" si="2">1-D20-D21</f>
        <v>0.15000000000000002</v>
      </c>
      <c r="E19" s="132">
        <f t="shared" si="2"/>
        <v>0.125</v>
      </c>
      <c r="F19" s="132">
        <f t="shared" si="2"/>
        <v>0.10000000000000009</v>
      </c>
      <c r="G19" s="132">
        <f t="shared" si="2"/>
        <v>0.1964876033057853</v>
      </c>
      <c r="H19" s="132">
        <f t="shared" si="2"/>
        <v>0.26388888888888884</v>
      </c>
      <c r="I19" s="132">
        <f t="shared" si="2"/>
        <v>0.31079881656804742</v>
      </c>
      <c r="J19" s="132">
        <f t="shared" si="2"/>
        <v>0.3428571428571428</v>
      </c>
      <c r="K19" s="132">
        <f t="shared" si="2"/>
        <v>0.36388888888888898</v>
      </c>
      <c r="L19" s="132">
        <f t="shared" si="2"/>
        <v>0.37656249999999991</v>
      </c>
      <c r="M19" s="132">
        <f t="shared" si="2"/>
        <v>0.38278546712802769</v>
      </c>
      <c r="N19" s="132">
        <f t="shared" si="2"/>
        <v>0.38395061728395047</v>
      </c>
      <c r="O19" s="132">
        <f t="shared" si="2"/>
        <v>0.3810941828254848</v>
      </c>
      <c r="P19" s="132">
        <f t="shared" si="2"/>
        <v>0.37499999999999983</v>
      </c>
      <c r="Q19" s="132">
        <f t="shared" si="2"/>
        <v>0.36626984126984119</v>
      </c>
      <c r="R19" s="132">
        <f t="shared" si="2"/>
        <v>0.35537190082644621</v>
      </c>
      <c r="S19" s="132">
        <f t="shared" si="2"/>
        <v>0.34267485822306226</v>
      </c>
      <c r="T19" s="132">
        <f t="shared" si="2"/>
        <v>0.32847222222222205</v>
      </c>
      <c r="U19" s="132">
        <f t="shared" si="2"/>
        <v>0.31299999999999983</v>
      </c>
      <c r="V19" s="132">
        <f t="shared" si="2"/>
        <v>0.29644970414201166</v>
      </c>
      <c r="W19" s="132">
        <f t="shared" si="2"/>
        <v>0.27897805212620008</v>
      </c>
      <c r="X19" s="132">
        <f t="shared" si="2"/>
        <v>0.26071428571428545</v>
      </c>
      <c r="Y19" s="132">
        <f t="shared" si="2"/>
        <v>0.24176575505350745</v>
      </c>
      <c r="Z19" s="133">
        <f t="shared" si="2"/>
        <v>0.22222222222222193</v>
      </c>
    </row>
    <row r="20" spans="1:26" x14ac:dyDescent="0.25">
      <c r="C20" s="22" t="s">
        <v>470</v>
      </c>
      <c r="D20" s="132">
        <v>0.15</v>
      </c>
      <c r="E20" s="132">
        <f>D20+0.025</f>
        <v>0.17499999999999999</v>
      </c>
      <c r="F20" s="132">
        <f t="shared" ref="F20:Z20" si="3">E20+0.025</f>
        <v>0.19999999999999998</v>
      </c>
      <c r="G20" s="132">
        <f t="shared" si="3"/>
        <v>0.22499999999999998</v>
      </c>
      <c r="H20" s="132">
        <f t="shared" si="3"/>
        <v>0.24999999999999997</v>
      </c>
      <c r="I20" s="132">
        <f t="shared" si="3"/>
        <v>0.27499999999999997</v>
      </c>
      <c r="J20" s="132">
        <f t="shared" si="3"/>
        <v>0.3</v>
      </c>
      <c r="K20" s="132">
        <f t="shared" si="3"/>
        <v>0.32500000000000001</v>
      </c>
      <c r="L20" s="132">
        <f t="shared" si="3"/>
        <v>0.35000000000000003</v>
      </c>
      <c r="M20" s="132">
        <f t="shared" si="3"/>
        <v>0.37500000000000006</v>
      </c>
      <c r="N20" s="132">
        <f t="shared" si="3"/>
        <v>0.40000000000000008</v>
      </c>
      <c r="O20" s="132">
        <f t="shared" si="3"/>
        <v>0.4250000000000001</v>
      </c>
      <c r="P20" s="132">
        <f t="shared" si="3"/>
        <v>0.45000000000000012</v>
      </c>
      <c r="Q20" s="132">
        <f t="shared" si="3"/>
        <v>0.47500000000000014</v>
      </c>
      <c r="R20" s="132">
        <f t="shared" si="3"/>
        <v>0.50000000000000011</v>
      </c>
      <c r="S20" s="132">
        <f t="shared" si="3"/>
        <v>0.52500000000000013</v>
      </c>
      <c r="T20" s="132">
        <f t="shared" si="3"/>
        <v>0.55000000000000016</v>
      </c>
      <c r="U20" s="132">
        <f t="shared" si="3"/>
        <v>0.57500000000000018</v>
      </c>
      <c r="V20" s="132">
        <f t="shared" si="3"/>
        <v>0.6000000000000002</v>
      </c>
      <c r="W20" s="132">
        <f t="shared" si="3"/>
        <v>0.62500000000000022</v>
      </c>
      <c r="X20" s="132">
        <f t="shared" si="3"/>
        <v>0.65000000000000024</v>
      </c>
      <c r="Y20" s="132">
        <f t="shared" si="3"/>
        <v>0.67500000000000027</v>
      </c>
      <c r="Z20" s="133">
        <f t="shared" si="3"/>
        <v>0.70000000000000029</v>
      </c>
    </row>
    <row r="21" spans="1:26" x14ac:dyDescent="0.25">
      <c r="C21" s="22" t="s">
        <v>471</v>
      </c>
      <c r="D21" s="132">
        <v>0.7</v>
      </c>
      <c r="E21" s="132">
        <f t="shared" ref="E21:Z21" si="4">$D$21*MIN(1,(50/E17)^2)</f>
        <v>0.7</v>
      </c>
      <c r="F21" s="132">
        <f t="shared" si="4"/>
        <v>0.7</v>
      </c>
      <c r="G21" s="132">
        <f t="shared" si="4"/>
        <v>0.57851239669421473</v>
      </c>
      <c r="H21" s="132">
        <f t="shared" si="4"/>
        <v>0.48611111111111116</v>
      </c>
      <c r="I21" s="132">
        <f t="shared" si="4"/>
        <v>0.41420118343195267</v>
      </c>
      <c r="J21" s="132">
        <f t="shared" si="4"/>
        <v>0.35714285714285715</v>
      </c>
      <c r="K21" s="132">
        <f t="shared" si="4"/>
        <v>0.31111111111111106</v>
      </c>
      <c r="L21" s="132">
        <f t="shared" si="4"/>
        <v>0.2734375</v>
      </c>
      <c r="M21" s="132">
        <f t="shared" si="4"/>
        <v>0.24221453287197231</v>
      </c>
      <c r="N21" s="132">
        <f t="shared" si="4"/>
        <v>0.2160493827160494</v>
      </c>
      <c r="O21" s="132">
        <f t="shared" si="4"/>
        <v>0.19390581717451519</v>
      </c>
      <c r="P21" s="132">
        <f t="shared" si="4"/>
        <v>0.17499999999999999</v>
      </c>
      <c r="Q21" s="132">
        <f t="shared" si="4"/>
        <v>0.15873015873015872</v>
      </c>
      <c r="R21" s="132">
        <f t="shared" si="4"/>
        <v>0.14462809917355368</v>
      </c>
      <c r="S21" s="132">
        <f t="shared" si="4"/>
        <v>0.1323251417769376</v>
      </c>
      <c r="T21" s="132">
        <f t="shared" si="4"/>
        <v>0.12152777777777779</v>
      </c>
      <c r="U21" s="132">
        <f t="shared" si="4"/>
        <v>0.11200000000000002</v>
      </c>
      <c r="V21" s="132">
        <f t="shared" si="4"/>
        <v>0.10355029585798817</v>
      </c>
      <c r="W21" s="132">
        <f t="shared" si="4"/>
        <v>9.602194787379971E-2</v>
      </c>
      <c r="X21" s="132">
        <f t="shared" si="4"/>
        <v>8.9285714285714288E-2</v>
      </c>
      <c r="Y21" s="132">
        <f t="shared" si="4"/>
        <v>8.3234244946492272E-2</v>
      </c>
      <c r="Z21" s="133">
        <f t="shared" si="4"/>
        <v>7.7777777777777765E-2</v>
      </c>
    </row>
    <row r="22" spans="1:26" x14ac:dyDescent="0.25">
      <c r="A22" s="85" t="s">
        <v>472</v>
      </c>
      <c r="B22" s="140" t="s">
        <v>454</v>
      </c>
      <c r="C22" s="30" t="s">
        <v>473</v>
      </c>
      <c r="D22" s="134">
        <f>SUMPRODUCT(D19:D21,$J$6:$J$8)</f>
        <v>1.73</v>
      </c>
      <c r="E22" s="134">
        <f t="shared" ref="E22:Z22" si="5">SUMPRODUCT(E19:E21,$J$6:$J$8)</f>
        <v>1.7799999999999998</v>
      </c>
      <c r="F22" s="134">
        <f t="shared" si="5"/>
        <v>1.83</v>
      </c>
      <c r="G22" s="134">
        <f t="shared" si="5"/>
        <v>1.8921487603305784</v>
      </c>
      <c r="H22" s="134">
        <f t="shared" si="5"/>
        <v>1.9513888888888886</v>
      </c>
      <c r="I22" s="134">
        <f t="shared" si="5"/>
        <v>2.0085798816568046</v>
      </c>
      <c r="J22" s="134">
        <f t="shared" si="5"/>
        <v>2.0642857142857141</v>
      </c>
      <c r="K22" s="134">
        <f t="shared" si="5"/>
        <v>2.1188888888888888</v>
      </c>
      <c r="L22" s="134">
        <f t="shared" si="5"/>
        <v>2.1726562500000002</v>
      </c>
      <c r="M22" s="134">
        <f t="shared" si="5"/>
        <v>2.2257785467128031</v>
      </c>
      <c r="N22" s="134">
        <f t="shared" si="5"/>
        <v>2.2783950617283955</v>
      </c>
      <c r="O22" s="134">
        <f t="shared" si="5"/>
        <v>2.330609418282549</v>
      </c>
      <c r="P22" s="134">
        <f t="shared" si="5"/>
        <v>2.3825000000000003</v>
      </c>
      <c r="Q22" s="134">
        <f t="shared" si="5"/>
        <v>2.4341269841269844</v>
      </c>
      <c r="R22" s="134">
        <f t="shared" si="5"/>
        <v>2.4855371900826451</v>
      </c>
      <c r="S22" s="134">
        <f t="shared" si="5"/>
        <v>2.5367674858223066</v>
      </c>
      <c r="T22" s="134">
        <f t="shared" si="5"/>
        <v>2.5878472222222224</v>
      </c>
      <c r="U22" s="134">
        <f t="shared" si="5"/>
        <v>2.6388000000000003</v>
      </c>
      <c r="V22" s="134">
        <f t="shared" si="5"/>
        <v>2.6896449704142014</v>
      </c>
      <c r="W22" s="134">
        <f t="shared" si="5"/>
        <v>2.7403978052126208</v>
      </c>
      <c r="X22" s="134">
        <f t="shared" si="5"/>
        <v>2.7910714285714291</v>
      </c>
      <c r="Y22" s="134">
        <f t="shared" si="5"/>
        <v>2.841676575505351</v>
      </c>
      <c r="Z22" s="135">
        <f t="shared" si="5"/>
        <v>2.8922222222222231</v>
      </c>
    </row>
    <row r="23" spans="1:26" x14ac:dyDescent="0.25">
      <c r="A23" s="85" t="s">
        <v>474</v>
      </c>
      <c r="B23" s="140" t="s">
        <v>463</v>
      </c>
      <c r="C23" s="30" t="s">
        <v>475</v>
      </c>
      <c r="D23" s="134">
        <f t="shared" ref="D23:Z23" si="6">D19*$R$10+D20*$Q$10+D21*$P$10</f>
        <v>1.5160480769230769</v>
      </c>
      <c r="E23" s="134">
        <f t="shared" si="6"/>
        <v>1.5548605769230766</v>
      </c>
      <c r="F23" s="134">
        <f t="shared" si="6"/>
        <v>1.5936730769230767</v>
      </c>
      <c r="G23" s="134">
        <f t="shared" si="6"/>
        <v>1.650591902415766</v>
      </c>
      <c r="H23" s="134">
        <f t="shared" si="6"/>
        <v>1.7031757478632477</v>
      </c>
      <c r="I23" s="134">
        <f t="shared" si="6"/>
        <v>1.7527055928538915</v>
      </c>
      <c r="J23" s="134">
        <f t="shared" si="6"/>
        <v>1.8000219780219777</v>
      </c>
      <c r="K23" s="134">
        <f t="shared" si="6"/>
        <v>1.8456949786324788</v>
      </c>
      <c r="L23" s="134">
        <f t="shared" si="6"/>
        <v>1.8901222956730768</v>
      </c>
      <c r="M23" s="134">
        <f t="shared" si="6"/>
        <v>1.9335882186585043</v>
      </c>
      <c r="N23" s="134">
        <f t="shared" si="6"/>
        <v>1.9763003323836654</v>
      </c>
      <c r="O23" s="134">
        <f t="shared" si="6"/>
        <v>2.0184130753249523</v>
      </c>
      <c r="P23" s="134">
        <f t="shared" si="6"/>
        <v>2.0600432692307695</v>
      </c>
      <c r="Q23" s="134">
        <f t="shared" si="6"/>
        <v>2.1012806013431016</v>
      </c>
      <c r="R23" s="134">
        <f t="shared" si="6"/>
        <v>2.1421948506039414</v>
      </c>
      <c r="S23" s="134">
        <f t="shared" si="6"/>
        <v>2.1828409644467066</v>
      </c>
      <c r="T23" s="134">
        <f t="shared" si="6"/>
        <v>2.2232626869658123</v>
      </c>
      <c r="U23" s="134">
        <f t="shared" si="6"/>
        <v>2.2634951923076922</v>
      </c>
      <c r="V23" s="134">
        <f t="shared" si="6"/>
        <v>2.3035670232134731</v>
      </c>
      <c r="W23" s="134">
        <f t="shared" si="6"/>
        <v>2.3435015366149625</v>
      </c>
      <c r="X23" s="134">
        <f t="shared" si="6"/>
        <v>2.3833179945054943</v>
      </c>
      <c r="Y23" s="134">
        <f t="shared" si="6"/>
        <v>2.4230323961858597</v>
      </c>
      <c r="Z23" s="135">
        <f t="shared" si="6"/>
        <v>2.4626581196581201</v>
      </c>
    </row>
    <row r="24" spans="1:26" ht="15.75" thickBot="1" x14ac:dyDescent="0.3">
      <c r="A24" s="85" t="s">
        <v>476</v>
      </c>
      <c r="B24" s="140" t="s">
        <v>461</v>
      </c>
      <c r="C24" s="31" t="s">
        <v>127</v>
      </c>
      <c r="D24" s="136">
        <f t="shared" ref="D24:Z24" si="7">$P$9*D21+$Q$9*D20+$R$9*D19</f>
        <v>16.388235294117646</v>
      </c>
      <c r="E24" s="136">
        <f t="shared" si="7"/>
        <v>16.373529411764704</v>
      </c>
      <c r="F24" s="136">
        <f t="shared" si="7"/>
        <v>16.358823529411765</v>
      </c>
      <c r="G24" s="136">
        <f t="shared" si="7"/>
        <v>16.884175984443363</v>
      </c>
      <c r="H24" s="136">
        <f t="shared" si="7"/>
        <v>17.280228758169933</v>
      </c>
      <c r="I24" s="136">
        <f t="shared" si="7"/>
        <v>17.585189697180645</v>
      </c>
      <c r="J24" s="136">
        <f t="shared" si="7"/>
        <v>17.824129651860741</v>
      </c>
      <c r="K24" s="136">
        <f t="shared" si="7"/>
        <v>18.014052287581698</v>
      </c>
      <c r="L24" s="136">
        <f t="shared" si="7"/>
        <v>18.166819852941174</v>
      </c>
      <c r="M24" s="136">
        <f t="shared" si="7"/>
        <v>18.290911866476694</v>
      </c>
      <c r="N24" s="136">
        <f t="shared" si="7"/>
        <v>18.392519970951341</v>
      </c>
      <c r="O24" s="136">
        <f t="shared" si="7"/>
        <v>18.476250611047742</v>
      </c>
      <c r="P24" s="136">
        <f t="shared" si="7"/>
        <v>18.545588235294115</v>
      </c>
      <c r="Q24" s="136">
        <f t="shared" si="7"/>
        <v>18.603207949846606</v>
      </c>
      <c r="R24" s="136">
        <f t="shared" si="7"/>
        <v>18.651191054934369</v>
      </c>
      <c r="S24" s="136">
        <f t="shared" si="7"/>
        <v>18.691176470588236</v>
      </c>
      <c r="T24" s="136">
        <f t="shared" si="7"/>
        <v>18.724468954248366</v>
      </c>
      <c r="U24" s="136">
        <f t="shared" si="7"/>
        <v>18.752117647058824</v>
      </c>
      <c r="V24" s="136">
        <f t="shared" si="7"/>
        <v>18.774973894883395</v>
      </c>
      <c r="W24" s="136">
        <f t="shared" si="7"/>
        <v>18.793734366174455</v>
      </c>
      <c r="X24" s="136">
        <f t="shared" si="7"/>
        <v>18.808973589435773</v>
      </c>
      <c r="Y24" s="136">
        <f t="shared" si="7"/>
        <v>18.821168776666433</v>
      </c>
      <c r="Z24" s="137">
        <f t="shared" si="7"/>
        <v>18.830718954248365</v>
      </c>
    </row>
    <row r="26" spans="1:26" ht="15.75" thickBot="1" x14ac:dyDescent="0.3"/>
    <row r="27" spans="1:26" ht="15.75" thickBot="1" x14ac:dyDescent="0.3">
      <c r="C27" s="143" t="s">
        <v>348</v>
      </c>
      <c r="D27" s="144"/>
      <c r="E27" s="144"/>
      <c r="F27" s="144"/>
      <c r="G27" s="144"/>
      <c r="H27" s="144"/>
      <c r="I27" s="145"/>
    </row>
    <row r="28" spans="1:26" x14ac:dyDescent="0.25">
      <c r="C28" s="147"/>
      <c r="D28" s="148"/>
      <c r="E28" s="149" t="s">
        <v>451</v>
      </c>
      <c r="F28" s="149">
        <v>0</v>
      </c>
      <c r="G28" s="149">
        <f>F29</f>
        <v>85</v>
      </c>
      <c r="H28" s="149">
        <f>G29</f>
        <v>125</v>
      </c>
      <c r="I28" s="150" t="s">
        <v>56</v>
      </c>
    </row>
    <row r="29" spans="1:26" x14ac:dyDescent="0.25">
      <c r="C29" s="151"/>
      <c r="D29" s="152"/>
      <c r="E29" s="152" t="s">
        <v>452</v>
      </c>
      <c r="F29" s="152">
        <v>85</v>
      </c>
      <c r="G29" s="152">
        <v>125</v>
      </c>
      <c r="H29" s="152">
        <v>200</v>
      </c>
      <c r="I29" s="153" t="s">
        <v>56</v>
      </c>
    </row>
    <row r="30" spans="1:26" x14ac:dyDescent="0.25">
      <c r="C30" s="154" t="s">
        <v>477</v>
      </c>
      <c r="D30" s="155">
        <v>20.833333333333332</v>
      </c>
      <c r="E30" s="152" t="s">
        <v>188</v>
      </c>
      <c r="F30" s="156">
        <v>1</v>
      </c>
      <c r="G30" s="156">
        <v>1</v>
      </c>
      <c r="H30" s="156">
        <v>1</v>
      </c>
      <c r="I30" s="153"/>
    </row>
    <row r="31" spans="1:26" x14ac:dyDescent="0.25">
      <c r="C31" s="154" t="s">
        <v>478</v>
      </c>
      <c r="D31" s="155">
        <v>13.888888888888889</v>
      </c>
      <c r="E31" s="152" t="s">
        <v>188</v>
      </c>
      <c r="F31" s="156">
        <v>1</v>
      </c>
      <c r="G31" s="156">
        <v>1</v>
      </c>
      <c r="H31" s="156">
        <v>2</v>
      </c>
      <c r="I31" s="153"/>
    </row>
    <row r="32" spans="1:26" x14ac:dyDescent="0.25">
      <c r="C32" s="154" t="s">
        <v>479</v>
      </c>
      <c r="D32" s="155">
        <v>6.9444444444444446</v>
      </c>
      <c r="E32" s="152" t="s">
        <v>188</v>
      </c>
      <c r="F32" s="156">
        <v>1</v>
      </c>
      <c r="G32" s="156">
        <v>2</v>
      </c>
      <c r="H32" s="156">
        <v>2</v>
      </c>
      <c r="I32" s="153"/>
    </row>
    <row r="33" spans="1:26" ht="15.75" thickBot="1" x14ac:dyDescent="0.3">
      <c r="C33" s="157"/>
      <c r="D33" s="158"/>
      <c r="E33" s="158"/>
      <c r="F33" s="146">
        <v>41.666666666666671</v>
      </c>
      <c r="G33" s="146">
        <v>48.611111111111114</v>
      </c>
      <c r="H33" s="146">
        <v>62.5</v>
      </c>
      <c r="I33" s="160" t="s">
        <v>480</v>
      </c>
    </row>
    <row r="34" spans="1:26" x14ac:dyDescent="0.25">
      <c r="C34" s="161" t="s">
        <v>481</v>
      </c>
      <c r="D34" s="162">
        <v>0.9</v>
      </c>
      <c r="E34" s="149" t="s">
        <v>482</v>
      </c>
      <c r="F34" s="162" t="s">
        <v>483</v>
      </c>
      <c r="G34" s="149"/>
      <c r="H34" s="149"/>
      <c r="I34" s="150"/>
    </row>
    <row r="35" spans="1:26" ht="15.75" thickBot="1" x14ac:dyDescent="0.3">
      <c r="C35" s="157" t="s">
        <v>484</v>
      </c>
      <c r="D35" s="163">
        <v>7</v>
      </c>
      <c r="E35" s="158" t="s">
        <v>188</v>
      </c>
      <c r="F35" s="164" t="s">
        <v>485</v>
      </c>
      <c r="G35" s="158"/>
      <c r="H35" s="158"/>
      <c r="I35" s="159"/>
    </row>
    <row r="36" spans="1:26" ht="15.75" thickBot="1" x14ac:dyDescent="0.3">
      <c r="C36" s="1"/>
      <c r="D36" s="7"/>
      <c r="E36" s="1"/>
      <c r="F36" s="1"/>
      <c r="G36" s="1"/>
      <c r="H36" s="1"/>
      <c r="I36" s="1"/>
    </row>
    <row r="37" spans="1:26" ht="15.75" thickBot="1" x14ac:dyDescent="0.3">
      <c r="C37" s="20"/>
      <c r="D37" s="165" t="s">
        <v>486</v>
      </c>
      <c r="E37" s="166"/>
      <c r="F37" s="166"/>
      <c r="G37" s="166"/>
      <c r="H37" s="166"/>
      <c r="I37" s="166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8"/>
    </row>
    <row r="38" spans="1:26" x14ac:dyDescent="0.25">
      <c r="C38" s="30" t="s">
        <v>467</v>
      </c>
      <c r="D38" s="171">
        <v>40</v>
      </c>
      <c r="E38" s="171">
        <f t="shared" ref="E38:Z38" si="8">D38+5</f>
        <v>45</v>
      </c>
      <c r="F38" s="171">
        <f t="shared" si="8"/>
        <v>50</v>
      </c>
      <c r="G38" s="171">
        <f t="shared" si="8"/>
        <v>55</v>
      </c>
      <c r="H38" s="171">
        <f t="shared" si="8"/>
        <v>60</v>
      </c>
      <c r="I38" s="171">
        <f t="shared" si="8"/>
        <v>65</v>
      </c>
      <c r="J38" s="171">
        <f t="shared" si="8"/>
        <v>70</v>
      </c>
      <c r="K38" s="171">
        <f t="shared" si="8"/>
        <v>75</v>
      </c>
      <c r="L38" s="171">
        <f t="shared" si="8"/>
        <v>80</v>
      </c>
      <c r="M38" s="171">
        <f t="shared" si="8"/>
        <v>85</v>
      </c>
      <c r="N38" s="171">
        <f t="shared" si="8"/>
        <v>90</v>
      </c>
      <c r="O38" s="171">
        <f t="shared" si="8"/>
        <v>95</v>
      </c>
      <c r="P38" s="171">
        <f t="shared" si="8"/>
        <v>100</v>
      </c>
      <c r="Q38" s="171">
        <f t="shared" si="8"/>
        <v>105</v>
      </c>
      <c r="R38" s="171">
        <f t="shared" si="8"/>
        <v>110</v>
      </c>
      <c r="S38" s="171">
        <f t="shared" si="8"/>
        <v>115</v>
      </c>
      <c r="T38" s="171">
        <f t="shared" si="8"/>
        <v>120</v>
      </c>
      <c r="U38" s="171">
        <f t="shared" si="8"/>
        <v>125</v>
      </c>
      <c r="V38" s="171">
        <f t="shared" si="8"/>
        <v>130</v>
      </c>
      <c r="W38" s="171">
        <f t="shared" si="8"/>
        <v>135</v>
      </c>
      <c r="X38" s="171">
        <f t="shared" si="8"/>
        <v>140</v>
      </c>
      <c r="Y38" s="171">
        <f t="shared" si="8"/>
        <v>145</v>
      </c>
      <c r="Z38" s="172">
        <f t="shared" si="8"/>
        <v>150</v>
      </c>
    </row>
    <row r="39" spans="1:26" x14ac:dyDescent="0.25">
      <c r="B39" s="140" t="s">
        <v>487</v>
      </c>
      <c r="C39" s="30" t="s">
        <v>488</v>
      </c>
      <c r="D39" s="173">
        <f>$D$35*HLOOKUP(D38,$F$28:$H$33,5)</f>
        <v>7</v>
      </c>
      <c r="E39" s="173">
        <f>$D$35*HLOOKUP(E38,$F$28:$H$33,5)</f>
        <v>7</v>
      </c>
      <c r="F39" s="173">
        <f t="shared" ref="F39:Z39" si="9">$D$35*HLOOKUP(F38,$F$28:$H$33,5)</f>
        <v>7</v>
      </c>
      <c r="G39" s="173">
        <f t="shared" si="9"/>
        <v>7</v>
      </c>
      <c r="H39" s="173">
        <f t="shared" si="9"/>
        <v>7</v>
      </c>
      <c r="I39" s="173">
        <f t="shared" si="9"/>
        <v>7</v>
      </c>
      <c r="J39" s="173">
        <f t="shared" si="9"/>
        <v>7</v>
      </c>
      <c r="K39" s="173">
        <f t="shared" si="9"/>
        <v>7</v>
      </c>
      <c r="L39" s="173">
        <f t="shared" si="9"/>
        <v>7</v>
      </c>
      <c r="M39" s="173">
        <f t="shared" si="9"/>
        <v>14</v>
      </c>
      <c r="N39" s="173">
        <f t="shared" si="9"/>
        <v>14</v>
      </c>
      <c r="O39" s="173">
        <f t="shared" si="9"/>
        <v>14</v>
      </c>
      <c r="P39" s="173">
        <f t="shared" si="9"/>
        <v>14</v>
      </c>
      <c r="Q39" s="173">
        <f t="shared" si="9"/>
        <v>14</v>
      </c>
      <c r="R39" s="173">
        <f t="shared" si="9"/>
        <v>14</v>
      </c>
      <c r="S39" s="173">
        <f t="shared" si="9"/>
        <v>14</v>
      </c>
      <c r="T39" s="173">
        <f t="shared" si="9"/>
        <v>14</v>
      </c>
      <c r="U39" s="173">
        <f t="shared" si="9"/>
        <v>14</v>
      </c>
      <c r="V39" s="173">
        <f t="shared" si="9"/>
        <v>14</v>
      </c>
      <c r="W39" s="173">
        <f t="shared" si="9"/>
        <v>14</v>
      </c>
      <c r="X39" s="173">
        <f t="shared" si="9"/>
        <v>14</v>
      </c>
      <c r="Y39" s="173">
        <f t="shared" si="9"/>
        <v>14</v>
      </c>
      <c r="Z39" s="174">
        <f t="shared" si="9"/>
        <v>14</v>
      </c>
    </row>
    <row r="40" spans="1:26" x14ac:dyDescent="0.25">
      <c r="B40" s="140" t="s">
        <v>123</v>
      </c>
      <c r="C40" s="30" t="s">
        <v>489</v>
      </c>
      <c r="D40" s="173">
        <f>D23*50/3.6</f>
        <v>21.056223290598286</v>
      </c>
      <c r="E40" s="173">
        <f t="shared" ref="E40:Z40" si="10">E23*50/3.6</f>
        <v>21.595285790598286</v>
      </c>
      <c r="F40" s="173">
        <f t="shared" si="10"/>
        <v>22.134348290598286</v>
      </c>
      <c r="G40" s="173">
        <f t="shared" si="10"/>
        <v>22.924887533552305</v>
      </c>
      <c r="H40" s="173">
        <f t="shared" si="10"/>
        <v>23.655218720322885</v>
      </c>
      <c r="I40" s="173">
        <f t="shared" si="10"/>
        <v>24.343133234081826</v>
      </c>
      <c r="J40" s="173">
        <f t="shared" si="10"/>
        <v>25.000305250305246</v>
      </c>
      <c r="K40" s="173">
        <f t="shared" si="10"/>
        <v>25.634652481006647</v>
      </c>
      <c r="L40" s="173">
        <f t="shared" si="10"/>
        <v>26.251698551014954</v>
      </c>
      <c r="M40" s="173">
        <f t="shared" si="10"/>
        <v>26.855391925812558</v>
      </c>
      <c r="N40" s="173">
        <f t="shared" si="10"/>
        <v>27.448615727550909</v>
      </c>
      <c r="O40" s="173">
        <f t="shared" si="10"/>
        <v>28.03351493506878</v>
      </c>
      <c r="P40" s="173">
        <f t="shared" si="10"/>
        <v>28.611712072649574</v>
      </c>
      <c r="Q40" s="173">
        <f t="shared" si="10"/>
        <v>29.184452796431962</v>
      </c>
      <c r="R40" s="173">
        <f t="shared" si="10"/>
        <v>29.752706258388073</v>
      </c>
      <c r="S40" s="173">
        <f t="shared" si="10"/>
        <v>30.317235617315369</v>
      </c>
      <c r="T40" s="173">
        <f t="shared" si="10"/>
        <v>30.878648430080723</v>
      </c>
      <c r="U40" s="173">
        <f t="shared" si="10"/>
        <v>31.437433226495727</v>
      </c>
      <c r="V40" s="173">
        <f t="shared" si="10"/>
        <v>31.993986433520458</v>
      </c>
      <c r="W40" s="173">
        <f t="shared" si="10"/>
        <v>32.548632452985586</v>
      </c>
      <c r="X40" s="173">
        <f t="shared" si="10"/>
        <v>33.101638812576311</v>
      </c>
      <c r="Y40" s="173">
        <f t="shared" si="10"/>
        <v>33.653227724803607</v>
      </c>
      <c r="Z40" s="174">
        <f t="shared" si="10"/>
        <v>34.203584995251667</v>
      </c>
    </row>
    <row r="41" spans="1:26" x14ac:dyDescent="0.25">
      <c r="B41" s="140" t="s">
        <v>490</v>
      </c>
      <c r="C41" s="30" t="s">
        <v>491</v>
      </c>
      <c r="D41" s="173">
        <f>MAX($D$34*D38,HLOOKUP(D38,$F$28:$H$33,6))</f>
        <v>41.666666666666671</v>
      </c>
      <c r="E41" s="173">
        <f t="shared" ref="E41:Z41" si="11">MAX($D$34*E38,HLOOKUP(E38,$F$28:$H$33,6))</f>
        <v>41.666666666666671</v>
      </c>
      <c r="F41" s="173">
        <f t="shared" si="11"/>
        <v>45</v>
      </c>
      <c r="G41" s="173">
        <f t="shared" si="11"/>
        <v>49.5</v>
      </c>
      <c r="H41" s="173">
        <f t="shared" si="11"/>
        <v>54</v>
      </c>
      <c r="I41" s="173">
        <f t="shared" si="11"/>
        <v>58.5</v>
      </c>
      <c r="J41" s="173">
        <f t="shared" si="11"/>
        <v>63</v>
      </c>
      <c r="K41" s="173">
        <f t="shared" si="11"/>
        <v>67.5</v>
      </c>
      <c r="L41" s="173">
        <f t="shared" si="11"/>
        <v>72</v>
      </c>
      <c r="M41" s="173">
        <f t="shared" si="11"/>
        <v>76.5</v>
      </c>
      <c r="N41" s="173">
        <f t="shared" si="11"/>
        <v>81</v>
      </c>
      <c r="O41" s="173">
        <f t="shared" si="11"/>
        <v>85.5</v>
      </c>
      <c r="P41" s="173">
        <f t="shared" si="11"/>
        <v>90</v>
      </c>
      <c r="Q41" s="173">
        <f t="shared" si="11"/>
        <v>94.5</v>
      </c>
      <c r="R41" s="173">
        <f t="shared" si="11"/>
        <v>99</v>
      </c>
      <c r="S41" s="173">
        <f t="shared" si="11"/>
        <v>103.5</v>
      </c>
      <c r="T41" s="173">
        <f t="shared" si="11"/>
        <v>108</v>
      </c>
      <c r="U41" s="173">
        <f t="shared" si="11"/>
        <v>112.5</v>
      </c>
      <c r="V41" s="173">
        <f t="shared" si="11"/>
        <v>117</v>
      </c>
      <c r="W41" s="173">
        <f t="shared" si="11"/>
        <v>121.5</v>
      </c>
      <c r="X41" s="173">
        <f t="shared" si="11"/>
        <v>126</v>
      </c>
      <c r="Y41" s="173">
        <f t="shared" si="11"/>
        <v>130.5</v>
      </c>
      <c r="Z41" s="174">
        <f t="shared" si="11"/>
        <v>135</v>
      </c>
    </row>
    <row r="42" spans="1:26" x14ac:dyDescent="0.25">
      <c r="C42" s="11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6"/>
    </row>
    <row r="43" spans="1:26" x14ac:dyDescent="0.25">
      <c r="C43" s="170" t="s">
        <v>492</v>
      </c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6"/>
    </row>
    <row r="44" spans="1:26" x14ac:dyDescent="0.25">
      <c r="B44" s="140" t="s">
        <v>123</v>
      </c>
      <c r="C44" s="30" t="s">
        <v>493</v>
      </c>
      <c r="D44" s="173">
        <f>24-D45-D46</f>
        <v>7.6117647058823534</v>
      </c>
      <c r="E44" s="173">
        <f t="shared" ref="E44:Z44" si="12">24-E45-E46</f>
        <v>7.6264705882352963</v>
      </c>
      <c r="F44" s="173">
        <f t="shared" si="12"/>
        <v>7.6411764705882357</v>
      </c>
      <c r="G44" s="173">
        <f t="shared" si="12"/>
        <v>7.1158240155566359</v>
      </c>
      <c r="H44" s="173">
        <f t="shared" si="12"/>
        <v>6.7197712418300659</v>
      </c>
      <c r="I44" s="173">
        <f t="shared" si="12"/>
        <v>6.4148103028193546</v>
      </c>
      <c r="J44" s="173">
        <f t="shared" si="12"/>
        <v>6.1758703481392594</v>
      </c>
      <c r="K44" s="173">
        <f t="shared" si="12"/>
        <v>5.9859477124183016</v>
      </c>
      <c r="L44" s="173">
        <f t="shared" si="12"/>
        <v>5.833180147058826</v>
      </c>
      <c r="M44" s="173">
        <f t="shared" si="12"/>
        <v>5.7090881335233057</v>
      </c>
      <c r="N44" s="173">
        <f t="shared" si="12"/>
        <v>5.6074800290486593</v>
      </c>
      <c r="O44" s="173">
        <f t="shared" si="12"/>
        <v>5.5237493889522575</v>
      </c>
      <c r="P44" s="173">
        <f t="shared" si="12"/>
        <v>5.4544117647058847</v>
      </c>
      <c r="Q44" s="173">
        <f t="shared" si="12"/>
        <v>5.3967920501533939</v>
      </c>
      <c r="R44" s="173">
        <f t="shared" si="12"/>
        <v>5.348808945065632</v>
      </c>
      <c r="S44" s="173">
        <f t="shared" si="12"/>
        <v>5.3088235294117654</v>
      </c>
      <c r="T44" s="173">
        <f t="shared" si="12"/>
        <v>5.2755310457516353</v>
      </c>
      <c r="U44" s="173">
        <f t="shared" si="12"/>
        <v>5.2478823529411764</v>
      </c>
      <c r="V44" s="173">
        <f t="shared" si="12"/>
        <v>5.2250261051166049</v>
      </c>
      <c r="W44" s="173">
        <f t="shared" si="12"/>
        <v>5.2062656338255451</v>
      </c>
      <c r="X44" s="173">
        <f t="shared" si="12"/>
        <v>5.191026410564227</v>
      </c>
      <c r="Y44" s="173">
        <f t="shared" si="12"/>
        <v>5.1788312233335674</v>
      </c>
      <c r="Z44" s="174">
        <f t="shared" si="12"/>
        <v>5.1692810457516352</v>
      </c>
    </row>
    <row r="45" spans="1:26" x14ac:dyDescent="0.25">
      <c r="B45" s="140" t="s">
        <v>123</v>
      </c>
      <c r="C45" s="30" t="s">
        <v>494</v>
      </c>
      <c r="D45" s="173">
        <f>D24-D46</f>
        <v>13.793235294117647</v>
      </c>
      <c r="E45" s="173">
        <f t="shared" ref="E45:Z45" si="13">E24-E46</f>
        <v>13.703529411764704</v>
      </c>
      <c r="F45" s="173">
        <f t="shared" si="13"/>
        <v>13.613823529411764</v>
      </c>
      <c r="G45" s="173">
        <f t="shared" si="13"/>
        <v>14.045952843947497</v>
      </c>
      <c r="H45" s="173">
        <f t="shared" si="13"/>
        <v>14.353145424836601</v>
      </c>
      <c r="I45" s="173">
        <f t="shared" si="13"/>
        <v>14.572319874695438</v>
      </c>
      <c r="J45" s="173">
        <f t="shared" si="13"/>
        <v>14.727701080432169</v>
      </c>
      <c r="K45" s="173">
        <f t="shared" si="13"/>
        <v>14.835718954248366</v>
      </c>
      <c r="L45" s="173">
        <f t="shared" si="13"/>
        <v>14.907835477941173</v>
      </c>
      <c r="M45" s="173">
        <f t="shared" si="13"/>
        <v>14.95224404640749</v>
      </c>
      <c r="N45" s="173">
        <f t="shared" si="13"/>
        <v>14.974927378358748</v>
      </c>
      <c r="O45" s="173">
        <f t="shared" si="13"/>
        <v>14.980336483623919</v>
      </c>
      <c r="P45" s="173">
        <f t="shared" si="13"/>
        <v>14.971838235294115</v>
      </c>
      <c r="Q45" s="173">
        <f t="shared" si="13"/>
        <v>14.952017473656129</v>
      </c>
      <c r="R45" s="173">
        <f t="shared" si="13"/>
        <v>14.922885269810401</v>
      </c>
      <c r="S45" s="173">
        <f t="shared" si="13"/>
        <v>14.886025241854774</v>
      </c>
      <c r="T45" s="173">
        <f t="shared" si="13"/>
        <v>14.842698120915031</v>
      </c>
      <c r="U45" s="173">
        <f t="shared" si="13"/>
        <v>14.793917647058823</v>
      </c>
      <c r="V45" s="173">
        <f t="shared" si="13"/>
        <v>14.740506439262093</v>
      </c>
      <c r="W45" s="173">
        <f t="shared" si="13"/>
        <v>14.683137658355523</v>
      </c>
      <c r="X45" s="173">
        <f t="shared" si="13"/>
        <v>14.62236644657863</v>
      </c>
      <c r="Y45" s="173">
        <f t="shared" si="13"/>
        <v>14.558653913408406</v>
      </c>
      <c r="Z45" s="174">
        <f t="shared" si="13"/>
        <v>14.49238562091503</v>
      </c>
    </row>
    <row r="46" spans="1:26" x14ac:dyDescent="0.25">
      <c r="B46" s="140" t="s">
        <v>123</v>
      </c>
      <c r="C46" s="30" t="s">
        <v>495</v>
      </c>
      <c r="D46" s="173">
        <f>D22*1.5</f>
        <v>2.5949999999999998</v>
      </c>
      <c r="E46" s="173">
        <f t="shared" ref="E46:Z46" si="14">E22*1.5</f>
        <v>2.67</v>
      </c>
      <c r="F46" s="173">
        <f t="shared" si="14"/>
        <v>2.7450000000000001</v>
      </c>
      <c r="G46" s="173">
        <f t="shared" si="14"/>
        <v>2.8382231404958675</v>
      </c>
      <c r="H46" s="173">
        <f t="shared" si="14"/>
        <v>2.927083333333333</v>
      </c>
      <c r="I46" s="173">
        <f t="shared" si="14"/>
        <v>3.0128698224852068</v>
      </c>
      <c r="J46" s="173">
        <f t="shared" si="14"/>
        <v>3.0964285714285711</v>
      </c>
      <c r="K46" s="173">
        <f t="shared" si="14"/>
        <v>3.1783333333333332</v>
      </c>
      <c r="L46" s="173">
        <f t="shared" si="14"/>
        <v>3.2589843750000003</v>
      </c>
      <c r="M46" s="173">
        <f t="shared" si="14"/>
        <v>3.3386678200692046</v>
      </c>
      <c r="N46" s="173">
        <f t="shared" si="14"/>
        <v>3.4175925925925932</v>
      </c>
      <c r="O46" s="173">
        <f t="shared" si="14"/>
        <v>3.4959141274238235</v>
      </c>
      <c r="P46" s="173">
        <f t="shared" si="14"/>
        <v>3.5737500000000004</v>
      </c>
      <c r="Q46" s="173">
        <f t="shared" si="14"/>
        <v>3.6511904761904765</v>
      </c>
      <c r="R46" s="173">
        <f t="shared" si="14"/>
        <v>3.7283057851239674</v>
      </c>
      <c r="S46" s="173">
        <f t="shared" si="14"/>
        <v>3.8051512287334601</v>
      </c>
      <c r="T46" s="173">
        <f t="shared" si="14"/>
        <v>3.8817708333333334</v>
      </c>
      <c r="U46" s="173">
        <f t="shared" si="14"/>
        <v>3.9582000000000006</v>
      </c>
      <c r="V46" s="173">
        <f t="shared" si="14"/>
        <v>4.0344674556213018</v>
      </c>
      <c r="W46" s="173">
        <f t="shared" si="14"/>
        <v>4.1105967078189316</v>
      </c>
      <c r="X46" s="173">
        <f t="shared" si="14"/>
        <v>4.1866071428571434</v>
      </c>
      <c r="Y46" s="173">
        <f t="shared" si="14"/>
        <v>4.2625148632580263</v>
      </c>
      <c r="Z46" s="174">
        <f t="shared" si="14"/>
        <v>4.3383333333333347</v>
      </c>
    </row>
    <row r="47" spans="1:26" x14ac:dyDescent="0.25">
      <c r="C47" s="11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169"/>
    </row>
    <row r="48" spans="1:26" x14ac:dyDescent="0.25">
      <c r="A48" s="85" t="s">
        <v>496</v>
      </c>
      <c r="B48" s="140" t="s">
        <v>497</v>
      </c>
      <c r="C48" s="30" t="s">
        <v>498</v>
      </c>
      <c r="D48" s="173">
        <f>(D39*D44+D40*D45+D41*D46)/24</f>
        <v>18.826699799744951</v>
      </c>
      <c r="E48" s="173">
        <f t="shared" ref="E48:Z48" si="15">(E39*E44+E40*E45+E41*E46)/24</f>
        <v>19.190288671023961</v>
      </c>
      <c r="F48" s="173">
        <f t="shared" si="15"/>
        <v>19.931097785869152</v>
      </c>
      <c r="G48" s="173">
        <f t="shared" si="15"/>
        <v>21.34602928385489</v>
      </c>
      <c r="H48" s="173">
        <f t="shared" si="15"/>
        <v>22.692820543413415</v>
      </c>
      <c r="I48" s="173">
        <f t="shared" si="15"/>
        <v>23.995520040603736</v>
      </c>
      <c r="J48" s="173">
        <f t="shared" si="15"/>
        <v>25.270963128459556</v>
      </c>
      <c r="K48" s="173">
        <f t="shared" si="15"/>
        <v>26.531151403540346</v>
      </c>
      <c r="L48" s="173">
        <f t="shared" si="15"/>
        <v>27.784797460185391</v>
      </c>
      <c r="M48" s="173">
        <f t="shared" si="15"/>
        <v>30.703487339220459</v>
      </c>
      <c r="N48" s="173">
        <f t="shared" si="15"/>
        <v>31.932114481801332</v>
      </c>
      <c r="O48" s="173">
        <f t="shared" si="15"/>
        <v>33.174359828587306</v>
      </c>
      <c r="P48" s="173">
        <f t="shared" si="15"/>
        <v>34.432049562183479</v>
      </c>
      <c r="Q48" s="173">
        <f t="shared" si="15"/>
        <v>35.706626536395447</v>
      </c>
      <c r="R48" s="173">
        <f t="shared" si="15"/>
        <v>36.999242496603614</v>
      </c>
      <c r="S48" s="173">
        <f t="shared" si="15"/>
        <v>38.310825677012211</v>
      </c>
      <c r="T48" s="173">
        <f t="shared" si="15"/>
        <v>39.642130902919916</v>
      </c>
      <c r="U48" s="173">
        <f t="shared" si="15"/>
        <v>40.993777130369381</v>
      </c>
      <c r="V48" s="173">
        <f t="shared" si="15"/>
        <v>42.366275867512378</v>
      </c>
      <c r="W48" s="173">
        <f t="shared" si="15"/>
        <v>43.760052907165139</v>
      </c>
      <c r="X48" s="173">
        <f t="shared" si="15"/>
        <v>45.175465101986667</v>
      </c>
      <c r="Y48" s="173">
        <f t="shared" si="15"/>
        <v>46.612813429015773</v>
      </c>
      <c r="Z48" s="174">
        <f t="shared" si="15"/>
        <v>48.072353250393896</v>
      </c>
    </row>
    <row r="49" spans="1:26" ht="15.75" thickBot="1" x14ac:dyDescent="0.3">
      <c r="A49" s="85" t="s">
        <v>499</v>
      </c>
      <c r="B49" s="140" t="s">
        <v>497</v>
      </c>
      <c r="C49" s="31" t="s">
        <v>500</v>
      </c>
      <c r="D49" s="177">
        <f>(D40-D39)/(D41-D39)/2+((D40-D39)/(D41-D39)/2)^1.3</f>
        <v>0.32833829843861029</v>
      </c>
      <c r="E49" s="177">
        <f>(E40-E39)/(E41-E39)/2+((E40-E39)/(E41-E39)/2)^1.3</f>
        <v>0.34241102057935885</v>
      </c>
      <c r="F49" s="177">
        <f t="shared" ref="F49:Z49" si="16">(F40-F39)/(F41-F39)/2+((F40-F39)/(F41-F39)/2)^1.3</f>
        <v>0.32185046093238334</v>
      </c>
      <c r="G49" s="177">
        <f t="shared" si="16"/>
        <v>0.30071027259026017</v>
      </c>
      <c r="H49" s="177">
        <f t="shared" si="16"/>
        <v>0.28260954288127549</v>
      </c>
      <c r="I49" s="177">
        <f t="shared" si="16"/>
        <v>0.26704818679852699</v>
      </c>
      <c r="J49" s="177">
        <f t="shared" si="16"/>
        <v>0.25358807095029656</v>
      </c>
      <c r="K49" s="177">
        <f t="shared" si="16"/>
        <v>0.24186650651207084</v>
      </c>
      <c r="L49" s="177">
        <f t="shared" si="16"/>
        <v>0.23158939957715902</v>
      </c>
      <c r="M49" s="177">
        <f t="shared" si="16"/>
        <v>0.154822133151577</v>
      </c>
      <c r="N49" s="177">
        <f t="shared" si="16"/>
        <v>0.15071803834366082</v>
      </c>
      <c r="O49" s="177">
        <f t="shared" si="16"/>
        <v>0.14704442835646392</v>
      </c>
      <c r="P49" s="177">
        <f t="shared" si="16"/>
        <v>0.14374150360251836</v>
      </c>
      <c r="Q49" s="177">
        <f t="shared" si="16"/>
        <v>0.14075904339288034</v>
      </c>
      <c r="R49" s="177">
        <f t="shared" si="16"/>
        <v>0.13805485371298259</v>
      </c>
      <c r="S49" s="177">
        <f t="shared" si="16"/>
        <v>0.13559339931675202</v>
      </c>
      <c r="T49" s="177">
        <f t="shared" si="16"/>
        <v>0.13334464810798008</v>
      </c>
      <c r="U49" s="177">
        <f t="shared" si="16"/>
        <v>0.1312831149299688</v>
      </c>
      <c r="V49" s="177">
        <f t="shared" si="16"/>
        <v>0.12938707826846813</v>
      </c>
      <c r="W49" s="177">
        <f t="shared" si="16"/>
        <v>0.12763794127168779</v>
      </c>
      <c r="X49" s="177">
        <f t="shared" si="16"/>
        <v>0.12601971089060443</v>
      </c>
      <c r="Y49" s="177">
        <f t="shared" si="16"/>
        <v>0.12451857274985662</v>
      </c>
      <c r="Z49" s="178">
        <f t="shared" si="16"/>
        <v>0.1231225432639507</v>
      </c>
    </row>
    <row r="51" spans="1:26" ht="15.75" thickBot="1" x14ac:dyDescent="0.3"/>
    <row r="52" spans="1:26" ht="15.75" thickBot="1" x14ac:dyDescent="0.3">
      <c r="C52" s="187" t="s">
        <v>148</v>
      </c>
      <c r="D52" s="186" t="s">
        <v>501</v>
      </c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5"/>
    </row>
    <row r="53" spans="1:26" x14ac:dyDescent="0.25">
      <c r="C53" s="188"/>
      <c r="D53" s="180">
        <f>40</f>
        <v>40</v>
      </c>
      <c r="E53" s="181">
        <f>D53+5</f>
        <v>45</v>
      </c>
      <c r="F53" s="181">
        <f t="shared" ref="F53:Y53" si="17">E53+5</f>
        <v>50</v>
      </c>
      <c r="G53" s="181">
        <f t="shared" si="17"/>
        <v>55</v>
      </c>
      <c r="H53" s="181">
        <f t="shared" si="17"/>
        <v>60</v>
      </c>
      <c r="I53" s="181">
        <f t="shared" si="17"/>
        <v>65</v>
      </c>
      <c r="J53" s="181">
        <f t="shared" si="17"/>
        <v>70</v>
      </c>
      <c r="K53" s="181">
        <f t="shared" si="17"/>
        <v>75</v>
      </c>
      <c r="L53" s="181">
        <f t="shared" si="17"/>
        <v>80</v>
      </c>
      <c r="M53" s="181">
        <f t="shared" si="17"/>
        <v>85</v>
      </c>
      <c r="N53" s="181">
        <f t="shared" si="17"/>
        <v>90</v>
      </c>
      <c r="O53" s="181">
        <f t="shared" si="17"/>
        <v>95</v>
      </c>
      <c r="P53" s="181">
        <f t="shared" si="17"/>
        <v>100</v>
      </c>
      <c r="Q53" s="181">
        <f t="shared" si="17"/>
        <v>105</v>
      </c>
      <c r="R53" s="181">
        <f t="shared" si="17"/>
        <v>110</v>
      </c>
      <c r="S53" s="181">
        <f t="shared" si="17"/>
        <v>115</v>
      </c>
      <c r="T53" s="181">
        <f t="shared" si="17"/>
        <v>120</v>
      </c>
      <c r="U53" s="181">
        <f t="shared" si="17"/>
        <v>125</v>
      </c>
      <c r="V53" s="181">
        <f t="shared" si="17"/>
        <v>130</v>
      </c>
      <c r="W53" s="181">
        <f t="shared" si="17"/>
        <v>135</v>
      </c>
      <c r="X53" s="181">
        <f t="shared" si="17"/>
        <v>140</v>
      </c>
      <c r="Y53" s="181">
        <f t="shared" si="17"/>
        <v>145</v>
      </c>
      <c r="Z53" s="182">
        <f>Y53+5</f>
        <v>150</v>
      </c>
    </row>
    <row r="54" spans="1:26" ht="15.75" thickBot="1" x14ac:dyDescent="0.3">
      <c r="A54" s="85" t="s">
        <v>502</v>
      </c>
      <c r="B54" s="140" t="s">
        <v>503</v>
      </c>
      <c r="C54" s="189" t="s">
        <v>504</v>
      </c>
      <c r="D54" s="183">
        <f>Coeefficienten!$F$64+(D53/50)^0.95*Coeefficienten!$F$65+('Basis waarden en tabellen'!D22-1)*Coeefficienten!$F$66</f>
        <v>4.9605121396009872</v>
      </c>
      <c r="E54" s="184">
        <f>Coeefficienten!$F$64+(E53/50)^0.95*Coeefficienten!$F$65+('Basis waarden en tabellen'!E22-1)*Coeefficienten!$F$66</f>
        <v>4.9376231331968148</v>
      </c>
      <c r="F54" s="184">
        <f>Coeefficienten!$F$64+(F53/50)^0.95*Coeefficienten!$F$65+('Basis waarden en tabellen'!F22-1)*Coeefficienten!$F$66</f>
        <v>4.915</v>
      </c>
      <c r="G54" s="184">
        <f>Coeefficienten!$F$64+(G53/50)^0.95*Coeefficienten!$F$65+('Basis waarden en tabellen'!G22-1)*Coeefficienten!$F$66</f>
        <v>4.8986891747478492</v>
      </c>
      <c r="H54" s="184">
        <f>Coeefficienten!$F$64+(H53/50)^0.95*Coeefficienten!$F$65+('Basis waarden en tabellen'!H22-1)*Coeefficienten!$F$66</f>
        <v>4.8811392358705996</v>
      </c>
      <c r="I54" s="184">
        <f>Coeefficienten!$F$64+(I53/50)^0.95*Coeefficienten!$F$65+('Basis waarden en tabellen'!I22-1)*Coeefficienten!$F$66</f>
        <v>4.8627610947406552</v>
      </c>
      <c r="J54" s="184">
        <f>Coeefficienten!$F$64+(J53/50)^0.95*Coeefficienten!$F$65+('Basis waarden en tabellen'!J22-1)*Coeefficienten!$F$66</f>
        <v>4.8438208767518365</v>
      </c>
      <c r="K54" s="184">
        <f>Coeefficienten!$F$64+(K53/50)^0.95*Coeefficienten!$F$65+('Basis waarden en tabellen'!K22-1)*Coeefficienten!$F$66</f>
        <v>4.8244962954600261</v>
      </c>
      <c r="L54" s="184">
        <f>Coeefficienten!$F$64+(L53/50)^0.95*Coeefficienten!$F$65+('Basis waarden en tabellen'!L22-1)*Coeefficienten!$F$66</f>
        <v>4.8049090870630238</v>
      </c>
      <c r="M54" s="184">
        <f>Coeefficienten!$F$64+(M53/50)^0.95*Coeefficienten!$F$65+('Basis waarden en tabellen'!M22-1)*Coeefficienten!$F$66</f>
        <v>4.7851444380831873</v>
      </c>
      <c r="N54" s="184">
        <f>Coeefficienten!$F$64+(N53/50)^0.95*Coeefficienten!$F$65+('Basis waarden en tabellen'!N22-1)*Coeefficienten!$F$66</f>
        <v>4.7652630308434141</v>
      </c>
      <c r="O54" s="184">
        <f>Coeefficienten!$F$64+(O53/50)^0.95*Coeefficienten!$F$65+('Basis waarden en tabellen'!O22-1)*Coeefficienten!$F$66</f>
        <v>4.7453087385090003</v>
      </c>
      <c r="P54" s="184">
        <f>Coeefficienten!$F$64+(P53/50)^0.95*Coeefficienten!$F$65+('Basis waarden en tabellen'!P22-1)*Coeefficienten!$F$66</f>
        <v>4.7253136710751544</v>
      </c>
      <c r="Q54" s="184">
        <f>Coeefficienten!$F$64+(Q53/50)^0.95*Coeefficienten!$F$65+('Basis waarden en tabellen'!Q22-1)*Coeefficienten!$F$66</f>
        <v>4.7053015612761531</v>
      </c>
      <c r="R54" s="184">
        <f>Coeefficienten!$F$64+(R53/50)^0.95*Coeefficienten!$F$65+('Basis waarden en tabellen'!R22-1)*Coeefficienten!$F$66</f>
        <v>4.6852900833839337</v>
      </c>
      <c r="S54" s="184">
        <f>Coeefficienten!$F$64+(S53/50)^0.95*Coeefficienten!$F$65+('Basis waarden en tabellen'!S22-1)*Coeefficienten!$F$66</f>
        <v>4.6652924703443741</v>
      </c>
      <c r="T54" s="184">
        <f>Coeefficienten!$F$64+(T53/50)^0.95*Coeefficienten!$F$65+('Basis waarden en tabellen'!T22-1)*Coeefficienten!$F$66</f>
        <v>4.6453186600851799</v>
      </c>
      <c r="U54" s="184">
        <f>Coeefficienten!$F$64+(U53/50)^0.95*Coeefficienten!$F$65+('Basis waarden en tabellen'!U22-1)*Coeefficienten!$F$66</f>
        <v>4.6253761200595953</v>
      </c>
      <c r="V54" s="184">
        <f>Coeefficienten!$F$64+(V53/50)^0.95*Coeefficienten!$F$65+('Basis waarden en tabellen'!V22-1)*Coeefficienten!$F$66</f>
        <v>4.6054704482283197</v>
      </c>
      <c r="W54" s="184">
        <f>Coeefficienten!$F$64+(W53/50)^0.95*Coeefficienten!$F$65+('Basis waarden en tabellen'!W22-1)*Coeefficienten!$F$66</f>
        <v>4.5856058163585125</v>
      </c>
      <c r="X54" s="184">
        <f>Coeefficienten!$F$64+(X53/50)^0.95*Coeefficienten!$F$65+('Basis waarden en tabellen'!X22-1)*Coeefficienten!$F$66</f>
        <v>4.56578530057135</v>
      </c>
      <c r="Y54" s="184">
        <f>Coeefficienten!$F$64+(Y53/50)^0.95*Coeefficienten!$F$65+('Basis waarden en tabellen'!Y22-1)*Coeefficienten!$F$66</f>
        <v>4.5460111302498509</v>
      </c>
      <c r="Z54" s="185">
        <f>Coeefficienten!$F$64+(Z53/50)^0.95*Coeefficienten!$F$65+('Basis waarden en tabellen'!Z22-1)*Coeefficienten!$F$66</f>
        <v>4.5262848771508732</v>
      </c>
    </row>
    <row r="56" spans="1:26" ht="15.75" thickBot="1" x14ac:dyDescent="0.3"/>
    <row r="57" spans="1:26" ht="15.75" thickBot="1" x14ac:dyDescent="0.3">
      <c r="C57" t="s">
        <v>505</v>
      </c>
      <c r="D57" s="186" t="s">
        <v>506</v>
      </c>
      <c r="E57" s="144"/>
      <c r="F57" s="144"/>
      <c r="G57" s="144"/>
      <c r="H57" s="144"/>
      <c r="I57" s="144"/>
      <c r="J57" s="144"/>
      <c r="K57" s="145"/>
    </row>
    <row r="58" spans="1:26" x14ac:dyDescent="0.25">
      <c r="D58" s="1" t="s">
        <v>262</v>
      </c>
      <c r="E58" s="1" t="s">
        <v>263</v>
      </c>
      <c r="F58" s="1" t="s">
        <v>264</v>
      </c>
      <c r="G58" s="1" t="s">
        <v>265</v>
      </c>
      <c r="H58" s="1" t="s">
        <v>266</v>
      </c>
      <c r="I58" s="1" t="s">
        <v>267</v>
      </c>
      <c r="J58" s="1" t="s">
        <v>268</v>
      </c>
      <c r="K58" s="1" t="s">
        <v>269</v>
      </c>
      <c r="M58" s="1"/>
      <c r="N58" s="1"/>
    </row>
    <row r="59" spans="1:26" x14ac:dyDescent="0.25">
      <c r="A59" s="85" t="s">
        <v>416</v>
      </c>
      <c r="B59" s="171">
        <v>1</v>
      </c>
      <c r="C59" s="61" t="s">
        <v>249</v>
      </c>
      <c r="D59" s="191">
        <v>0.2</v>
      </c>
      <c r="E59" s="191">
        <f>D59+0.05</f>
        <v>0.25</v>
      </c>
      <c r="F59" s="191">
        <f>E59+0.1</f>
        <v>0.35</v>
      </c>
      <c r="G59" s="191">
        <f>F59+0.3</f>
        <v>0.64999999999999991</v>
      </c>
      <c r="H59" s="191">
        <v>1</v>
      </c>
      <c r="I59" s="191">
        <f>H59+0.2</f>
        <v>1.2</v>
      </c>
      <c r="J59" s="191">
        <f>I59-0.1</f>
        <v>1.0999999999999999</v>
      </c>
      <c r="K59" s="191">
        <f>J59-0.3</f>
        <v>0.79999999999999982</v>
      </c>
      <c r="M59" s="34"/>
      <c r="N59" s="6"/>
    </row>
    <row r="60" spans="1:26" x14ac:dyDescent="0.25">
      <c r="B60" s="171">
        <v>2</v>
      </c>
      <c r="C60" s="61" t="s">
        <v>254</v>
      </c>
      <c r="D60" s="192">
        <v>0.25</v>
      </c>
      <c r="E60" s="191">
        <f>D60+0.05</f>
        <v>0.3</v>
      </c>
      <c r="F60" s="191">
        <f>E60+0.1</f>
        <v>0.4</v>
      </c>
      <c r="G60" s="191">
        <f>F60+0.3</f>
        <v>0.7</v>
      </c>
      <c r="H60" s="191">
        <v>1</v>
      </c>
      <c r="I60" s="191">
        <f>H60+0.1</f>
        <v>1.1000000000000001</v>
      </c>
      <c r="J60" s="191">
        <f>I60-0.05</f>
        <v>1.05</v>
      </c>
      <c r="K60" s="191">
        <f>J60-0.3</f>
        <v>0.75</v>
      </c>
      <c r="M60" s="34"/>
      <c r="N60" s="6"/>
    </row>
    <row r="61" spans="1:26" x14ac:dyDescent="0.25">
      <c r="B61" s="171">
        <v>3</v>
      </c>
      <c r="C61" s="190" t="s">
        <v>256</v>
      </c>
      <c r="D61" s="193">
        <v>0.25</v>
      </c>
      <c r="E61" s="194">
        <v>0.4</v>
      </c>
      <c r="F61" s="194">
        <v>0.55000000000000004</v>
      </c>
      <c r="G61" s="194">
        <v>0.75</v>
      </c>
      <c r="H61" s="194">
        <v>1</v>
      </c>
      <c r="I61" s="194">
        <v>1</v>
      </c>
      <c r="J61" s="194">
        <v>0.95</v>
      </c>
      <c r="K61" s="194">
        <v>0.7</v>
      </c>
      <c r="M61" s="34"/>
      <c r="N61" s="6"/>
    </row>
    <row r="62" spans="1:26" x14ac:dyDescent="0.25">
      <c r="B62" s="171">
        <v>4</v>
      </c>
      <c r="C62" s="61" t="s">
        <v>259</v>
      </c>
      <c r="D62" s="191">
        <v>0.2</v>
      </c>
      <c r="E62" s="191">
        <f>D62+0.05</f>
        <v>0.25</v>
      </c>
      <c r="F62" s="191">
        <f>E62+0.1</f>
        <v>0.35</v>
      </c>
      <c r="G62" s="191">
        <f>F62+0.3</f>
        <v>0.64999999999999991</v>
      </c>
      <c r="H62" s="191">
        <v>1</v>
      </c>
      <c r="I62" s="191">
        <f>H62+0.2</f>
        <v>1.2</v>
      </c>
      <c r="J62" s="191">
        <f>I62-0.1</f>
        <v>1.0999999999999999</v>
      </c>
      <c r="K62" s="191">
        <f>J62-0.3</f>
        <v>0.79999999999999982</v>
      </c>
      <c r="M62" s="34"/>
      <c r="N62" s="6"/>
    </row>
    <row r="63" spans="1:26" x14ac:dyDescent="0.25">
      <c r="B63" s="171">
        <v>5</v>
      </c>
      <c r="C63" s="61" t="s">
        <v>257</v>
      </c>
      <c r="D63" s="191">
        <v>0.25</v>
      </c>
      <c r="E63" s="191">
        <f>D63+0.05</f>
        <v>0.3</v>
      </c>
      <c r="F63" s="191">
        <f>E63+0.1</f>
        <v>0.4</v>
      </c>
      <c r="G63" s="191">
        <f>F63+0.3</f>
        <v>0.7</v>
      </c>
      <c r="H63" s="191">
        <v>1</v>
      </c>
      <c r="I63" s="191">
        <f>H63+0.05</f>
        <v>1.05</v>
      </c>
      <c r="J63" s="191">
        <f>I63+0.1</f>
        <v>1.1500000000000001</v>
      </c>
      <c r="K63" s="191">
        <f>J63+0.3</f>
        <v>1.4500000000000002</v>
      </c>
      <c r="M63" s="34"/>
      <c r="N63" s="6"/>
    </row>
    <row r="64" spans="1:26" x14ac:dyDescent="0.25">
      <c r="D64" s="1" t="s">
        <v>272</v>
      </c>
      <c r="E64" s="1" t="s">
        <v>273</v>
      </c>
      <c r="F64" s="1" t="s">
        <v>274</v>
      </c>
      <c r="G64" s="1" t="s">
        <v>275</v>
      </c>
      <c r="H64" s="1" t="s">
        <v>276</v>
      </c>
      <c r="I64" s="1" t="s">
        <v>277</v>
      </c>
      <c r="J64" s="1" t="s">
        <v>278</v>
      </c>
      <c r="K64" s="1" t="s">
        <v>279</v>
      </c>
      <c r="M64" s="34"/>
      <c r="N64" s="6"/>
    </row>
    <row r="67" spans="1:13" x14ac:dyDescent="0.25">
      <c r="C67" t="s">
        <v>507</v>
      </c>
    </row>
    <row r="68" spans="1:13" x14ac:dyDescent="0.25">
      <c r="A68" s="85" t="s">
        <v>508</v>
      </c>
      <c r="C68" t="s">
        <v>509</v>
      </c>
      <c r="D68" s="216">
        <f>SUM(D69:D71)</f>
        <v>135.49299999999999</v>
      </c>
      <c r="E68" t="s">
        <v>213</v>
      </c>
      <c r="G68" t="s">
        <v>510</v>
      </c>
      <c r="H68" s="198" t="s">
        <v>511</v>
      </c>
      <c r="I68" t="s">
        <v>512</v>
      </c>
    </row>
    <row r="69" spans="1:13" x14ac:dyDescent="0.25">
      <c r="A69" s="85" t="s">
        <v>513</v>
      </c>
      <c r="B69" s="140" t="s">
        <v>514</v>
      </c>
      <c r="C69" s="4" t="s">
        <v>515</v>
      </c>
      <c r="D69" s="216">
        <f>(I76+I77+I78)</f>
        <v>34.28425</v>
      </c>
      <c r="E69" t="s">
        <v>213</v>
      </c>
    </row>
    <row r="70" spans="1:13" x14ac:dyDescent="0.25">
      <c r="A70" s="85" t="s">
        <v>516</v>
      </c>
      <c r="B70" s="140" t="s">
        <v>517</v>
      </c>
      <c r="C70" s="4" t="s">
        <v>518</v>
      </c>
      <c r="D70" s="216">
        <f>I79</f>
        <v>22.604999999999997</v>
      </c>
      <c r="E70" t="s">
        <v>213</v>
      </c>
    </row>
    <row r="71" spans="1:13" x14ac:dyDescent="0.25">
      <c r="A71" s="85" t="s">
        <v>519</v>
      </c>
      <c r="B71" s="140" t="s">
        <v>496</v>
      </c>
      <c r="C71" s="4" t="s">
        <v>150</v>
      </c>
      <c r="D71" s="216">
        <f>I81</f>
        <v>78.603749999999991</v>
      </c>
      <c r="E71" t="s">
        <v>213</v>
      </c>
    </row>
    <row r="72" spans="1:13" x14ac:dyDescent="0.25">
      <c r="A72" s="85" t="s">
        <v>520</v>
      </c>
      <c r="B72" s="140" t="s">
        <v>521</v>
      </c>
      <c r="C72" s="4" t="s">
        <v>522</v>
      </c>
      <c r="D72" s="216">
        <f>-F84</f>
        <v>-8.2152804855997132</v>
      </c>
      <c r="E72" t="s">
        <v>213</v>
      </c>
    </row>
    <row r="74" spans="1:13" x14ac:dyDescent="0.25">
      <c r="C74" s="4" t="s">
        <v>523</v>
      </c>
    </row>
    <row r="75" spans="1:13" x14ac:dyDescent="0.25">
      <c r="F75" s="4" t="s">
        <v>524</v>
      </c>
      <c r="G75" s="43" t="s">
        <v>525</v>
      </c>
      <c r="H75" s="1" t="s">
        <v>128</v>
      </c>
    </row>
    <row r="76" spans="1:13" x14ac:dyDescent="0.25">
      <c r="A76" s="85" t="s">
        <v>526</v>
      </c>
      <c r="C76" s="4" t="s">
        <v>527</v>
      </c>
      <c r="D76" s="206">
        <f>UwaardeBuitengevel_value</f>
        <v>0.2</v>
      </c>
      <c r="E76" t="s">
        <v>528</v>
      </c>
      <c r="F76" s="202">
        <f>input_OppervlakBuitenGevel_value*(1-Invoer!K8)/input_GrootteApartement_value</f>
        <v>0.4375</v>
      </c>
      <c r="G76" s="206">
        <f>22-Invoer!K32</f>
        <v>13.7</v>
      </c>
      <c r="H76" s="221">
        <f>5500</f>
        <v>5500</v>
      </c>
      <c r="I76" s="222">
        <f>G76*F76*D76*H76/1000</f>
        <v>6.5931249999999997</v>
      </c>
      <c r="J76" t="s">
        <v>529</v>
      </c>
      <c r="L76" s="5">
        <f>D76*F76+D77*F77+D78*F78</f>
        <v>0.45500000000000002</v>
      </c>
      <c r="M76" t="s">
        <v>530</v>
      </c>
    </row>
    <row r="77" spans="1:13" x14ac:dyDescent="0.25">
      <c r="A77" s="85" t="s">
        <v>531</v>
      </c>
      <c r="C77" s="4" t="s">
        <v>532</v>
      </c>
      <c r="D77" s="206">
        <f>Invoer!I15</f>
        <v>0.18000000000000002</v>
      </c>
      <c r="E77" t="s">
        <v>528</v>
      </c>
      <c r="F77" s="202">
        <v>1</v>
      </c>
      <c r="G77" s="206">
        <f t="shared" ref="G77:H79" si="18">G76</f>
        <v>13.7</v>
      </c>
      <c r="H77" s="221">
        <f t="shared" si="18"/>
        <v>5500</v>
      </c>
      <c r="I77" s="222">
        <f t="shared" ref="I77:I78" si="19">G77*F77*D77*H77/1000</f>
        <v>13.563000000000002</v>
      </c>
    </row>
    <row r="78" spans="1:13" x14ac:dyDescent="0.25">
      <c r="A78" s="85" t="s">
        <v>533</v>
      </c>
      <c r="C78" s="4" t="s">
        <v>534</v>
      </c>
      <c r="D78" s="206">
        <v>1</v>
      </c>
      <c r="E78" t="s">
        <v>528</v>
      </c>
      <c r="F78" s="202">
        <f>OppervlakGlasInBuitengevel_value/input_GrootteApartement_value</f>
        <v>0.1875</v>
      </c>
      <c r="G78" s="206">
        <f t="shared" si="18"/>
        <v>13.7</v>
      </c>
      <c r="H78" s="221">
        <f t="shared" si="18"/>
        <v>5500</v>
      </c>
      <c r="I78" s="222">
        <f t="shared" si="19"/>
        <v>14.128124999999999</v>
      </c>
    </row>
    <row r="79" spans="1:13" x14ac:dyDescent="0.25">
      <c r="A79" s="85" t="s">
        <v>517</v>
      </c>
      <c r="C79" s="4" t="s">
        <v>535</v>
      </c>
      <c r="D79" s="206">
        <f>2.7*J79/3.6</f>
        <v>0.3</v>
      </c>
      <c r="E79" t="s">
        <v>536</v>
      </c>
      <c r="F79" s="217"/>
      <c r="G79" s="206">
        <f t="shared" si="18"/>
        <v>13.7</v>
      </c>
      <c r="H79" s="221">
        <f t="shared" si="18"/>
        <v>5500</v>
      </c>
      <c r="I79" s="222">
        <f>(D79*G79*H79)/1000</f>
        <v>22.604999999999997</v>
      </c>
      <c r="J79" s="1">
        <v>0.4</v>
      </c>
      <c r="K79" t="s">
        <v>537</v>
      </c>
    </row>
    <row r="80" spans="1:13" x14ac:dyDescent="0.25">
      <c r="D80" s="5"/>
      <c r="F80" s="218" t="s">
        <v>352</v>
      </c>
      <c r="G80" s="220"/>
      <c r="H80" s="221"/>
      <c r="I80" s="217"/>
    </row>
    <row r="81" spans="1:13" x14ac:dyDescent="0.25">
      <c r="A81" s="85" t="s">
        <v>496</v>
      </c>
      <c r="C81" s="4" t="s">
        <v>538</v>
      </c>
      <c r="D81" s="5">
        <f>(1-F81)*G81*1.2*J81</f>
        <v>14.291590909090907</v>
      </c>
      <c r="E81" t="s">
        <v>539</v>
      </c>
      <c r="F81" s="219">
        <v>0</v>
      </c>
      <c r="G81" s="206">
        <f>G79</f>
        <v>13.7</v>
      </c>
      <c r="H81" s="221">
        <f>H76</f>
        <v>5500</v>
      </c>
      <c r="I81" s="222">
        <f>H81*D81/1000</f>
        <v>78.603749999999991</v>
      </c>
      <c r="J81" s="7">
        <f>L81/input_GrootteApartement_value</f>
        <v>0.86931818181818177</v>
      </c>
      <c r="K81" s="2" t="s">
        <v>540</v>
      </c>
      <c r="L81" s="41">
        <f>Resultaten!G41</f>
        <v>76.5</v>
      </c>
      <c r="M81" t="s">
        <v>188</v>
      </c>
    </row>
    <row r="82" spans="1:13" x14ac:dyDescent="0.25">
      <c r="I82" s="44"/>
    </row>
    <row r="83" spans="1:13" x14ac:dyDescent="0.25">
      <c r="C83" s="4" t="s">
        <v>541</v>
      </c>
    </row>
    <row r="84" spans="1:13" x14ac:dyDescent="0.25">
      <c r="A84" s="85" t="s">
        <v>521</v>
      </c>
      <c r="B84" s="140" t="s">
        <v>542</v>
      </c>
      <c r="C84" s="2" t="s">
        <v>543</v>
      </c>
      <c r="D84" s="202">
        <f>VLOOKUP(Ventilatiesysteem_value,Red_WL,3)</f>
        <v>0.35</v>
      </c>
      <c r="F84" s="203">
        <f>SUM(F85:F87)*D84</f>
        <v>8.2152804855997132</v>
      </c>
      <c r="G84" s="45" t="s">
        <v>544</v>
      </c>
    </row>
    <row r="85" spans="1:13" x14ac:dyDescent="0.25">
      <c r="C85" t="s">
        <v>545</v>
      </c>
      <c r="D85" s="140">
        <v>80</v>
      </c>
      <c r="E85" t="s">
        <v>539</v>
      </c>
      <c r="F85" s="179">
        <f>D85*I85*K85*365/2/1000/input_GrootteApartement_value</f>
        <v>5.8677220309737432</v>
      </c>
      <c r="G85" t="s">
        <v>544</v>
      </c>
      <c r="I85" s="206">
        <f>output_Bezetting_value</f>
        <v>1.9335882186585043</v>
      </c>
      <c r="J85" t="s">
        <v>546</v>
      </c>
      <c r="K85" s="206">
        <f>output_Gebruiksuren_value</f>
        <v>18.290911866476694</v>
      </c>
      <c r="L85" t="s">
        <v>547</v>
      </c>
    </row>
    <row r="86" spans="1:13" x14ac:dyDescent="0.25">
      <c r="C86" t="s">
        <v>548</v>
      </c>
      <c r="D86" s="204">
        <f>0.5*(I86*output_TotaalEnergieMediaApparatuurOverige_value+'Basis waarden en tabellen'!K86*output_TotaalEnergieWasmachineDrogerVaatwasser_value)</f>
        <v>249.82169765366717</v>
      </c>
      <c r="E86" t="s">
        <v>329</v>
      </c>
      <c r="F86" s="179">
        <f>D86/input_GrootteApartement_value</f>
        <v>2.8388829278825813</v>
      </c>
      <c r="G86" t="s">
        <v>544</v>
      </c>
      <c r="I86" s="6">
        <v>0.5</v>
      </c>
      <c r="J86" t="s">
        <v>549</v>
      </c>
      <c r="K86" s="207">
        <v>0.2</v>
      </c>
      <c r="L86" t="s">
        <v>550</v>
      </c>
    </row>
    <row r="87" spans="1:13" x14ac:dyDescent="0.25">
      <c r="C87" t="s">
        <v>551</v>
      </c>
      <c r="D87" s="119">
        <f>LocatieGegevensEzonWinter_value</f>
        <v>225</v>
      </c>
      <c r="E87" t="s">
        <v>213</v>
      </c>
      <c r="F87" s="179">
        <f>J87*D87/input_GrootteApartement_value</f>
        <v>14.765624999999998</v>
      </c>
      <c r="G87" t="s">
        <v>544</v>
      </c>
      <c r="J87" s="206">
        <f>OppervlakGlasInBuitengevel_value*ZTAZonderZonwering_value</f>
        <v>5.7749999999999995</v>
      </c>
      <c r="K87" t="s">
        <v>552</v>
      </c>
    </row>
    <row r="89" spans="1:13" ht="15.75" thickBot="1" x14ac:dyDescent="0.3">
      <c r="C89" t="s">
        <v>553</v>
      </c>
    </row>
    <row r="90" spans="1:13" ht="15.75" thickBot="1" x14ac:dyDescent="0.3">
      <c r="A90" s="85" t="s">
        <v>554</v>
      </c>
      <c r="C90" s="201" t="s">
        <v>554</v>
      </c>
      <c r="D90" s="144"/>
      <c r="E90" s="145"/>
    </row>
    <row r="91" spans="1:13" x14ac:dyDescent="0.25">
      <c r="C91" s="199">
        <v>1</v>
      </c>
      <c r="D91" s="141" t="s">
        <v>300</v>
      </c>
      <c r="E91" s="200">
        <v>0.2</v>
      </c>
    </row>
    <row r="92" spans="1:13" x14ac:dyDescent="0.25">
      <c r="C92" s="199">
        <v>2</v>
      </c>
      <c r="D92" s="141" t="s">
        <v>301</v>
      </c>
      <c r="E92" s="200">
        <v>0.3</v>
      </c>
    </row>
    <row r="93" spans="1:13" x14ac:dyDescent="0.25">
      <c r="C93" s="199">
        <v>3</v>
      </c>
      <c r="D93" s="141" t="s">
        <v>302</v>
      </c>
      <c r="E93" s="200">
        <v>0.6</v>
      </c>
    </row>
    <row r="94" spans="1:13" x14ac:dyDescent="0.25">
      <c r="C94" s="199">
        <v>4</v>
      </c>
      <c r="D94" s="141" t="s">
        <v>303</v>
      </c>
      <c r="E94" s="200">
        <v>0</v>
      </c>
    </row>
    <row r="95" spans="1:13" x14ac:dyDescent="0.25">
      <c r="C95" s="140"/>
    </row>
    <row r="96" spans="1:13" ht="15.75" thickBot="1" x14ac:dyDescent="0.3">
      <c r="C96" t="s">
        <v>555</v>
      </c>
    </row>
    <row r="97" spans="1:9" ht="15.75" thickBot="1" x14ac:dyDescent="0.3">
      <c r="A97" s="85" t="s">
        <v>556</v>
      </c>
      <c r="C97" s="201" t="s">
        <v>542</v>
      </c>
      <c r="D97" s="144"/>
      <c r="E97" s="145"/>
    </row>
    <row r="98" spans="1:9" x14ac:dyDescent="0.25">
      <c r="C98" s="199">
        <v>1</v>
      </c>
      <c r="D98" s="141" t="s">
        <v>300</v>
      </c>
      <c r="E98" s="200">
        <v>0.25</v>
      </c>
    </row>
    <row r="99" spans="1:9" x14ac:dyDescent="0.25">
      <c r="C99" s="199">
        <v>2</v>
      </c>
      <c r="D99" s="141" t="s">
        <v>301</v>
      </c>
      <c r="E99" s="200">
        <v>0.2</v>
      </c>
    </row>
    <row r="100" spans="1:9" x14ac:dyDescent="0.25">
      <c r="C100" s="199">
        <v>3</v>
      </c>
      <c r="D100" s="141" t="s">
        <v>302</v>
      </c>
      <c r="E100" s="200">
        <v>0.35</v>
      </c>
    </row>
    <row r="101" spans="1:9" x14ac:dyDescent="0.25">
      <c r="C101" s="199">
        <v>4</v>
      </c>
      <c r="D101" s="141" t="s">
        <v>303</v>
      </c>
      <c r="E101" s="200">
        <v>0.15</v>
      </c>
    </row>
    <row r="103" spans="1:9" ht="15.75" thickBot="1" x14ac:dyDescent="0.3">
      <c r="C103" t="s">
        <v>557</v>
      </c>
    </row>
    <row r="104" spans="1:9" ht="15.75" thickBot="1" x14ac:dyDescent="0.3">
      <c r="A104" s="85" t="s">
        <v>558</v>
      </c>
      <c r="C104" s="201" t="s">
        <v>558</v>
      </c>
      <c r="D104" s="144"/>
      <c r="E104" s="145"/>
    </row>
    <row r="105" spans="1:9" x14ac:dyDescent="0.25">
      <c r="C105" s="199">
        <v>1</v>
      </c>
      <c r="D105" s="141" t="s">
        <v>300</v>
      </c>
      <c r="E105" s="200">
        <v>0.05</v>
      </c>
    </row>
    <row r="106" spans="1:9" x14ac:dyDescent="0.25">
      <c r="C106" s="199">
        <v>2</v>
      </c>
      <c r="D106" s="141" t="s">
        <v>301</v>
      </c>
      <c r="E106" s="200">
        <v>0.15</v>
      </c>
    </row>
    <row r="107" spans="1:9" x14ac:dyDescent="0.25">
      <c r="C107" s="199">
        <v>3</v>
      </c>
      <c r="D107" s="141" t="s">
        <v>302</v>
      </c>
      <c r="E107" s="200">
        <v>0.3</v>
      </c>
    </row>
    <row r="108" spans="1:9" x14ac:dyDescent="0.25">
      <c r="C108" s="199">
        <v>4</v>
      </c>
      <c r="D108" s="141" t="s">
        <v>303</v>
      </c>
      <c r="E108" s="200">
        <v>0</v>
      </c>
    </row>
    <row r="110" spans="1:9" x14ac:dyDescent="0.25">
      <c r="C110" t="s">
        <v>559</v>
      </c>
    </row>
    <row r="111" spans="1:9" x14ac:dyDescent="0.25">
      <c r="A111" s="85" t="s">
        <v>560</v>
      </c>
      <c r="C111" t="s">
        <v>561</v>
      </c>
      <c r="D111" s="210">
        <f>(E111/G76)^H111</f>
        <v>0</v>
      </c>
      <c r="E111" s="179">
        <f>Invoer!M44-LocatieGegevensTgemWinter_value</f>
        <v>0</v>
      </c>
      <c r="F111" s="36" t="s">
        <v>87</v>
      </c>
      <c r="G111" t="s">
        <v>562</v>
      </c>
      <c r="H111" s="140">
        <v>1.3</v>
      </c>
      <c r="I111" t="s">
        <v>563</v>
      </c>
    </row>
    <row r="112" spans="1:9" x14ac:dyDescent="0.25">
      <c r="B112" s="140" t="s">
        <v>564</v>
      </c>
      <c r="C112" t="str">
        <f>LocatieGegevensEzonWinter_description</f>
        <v>Locatie gegevensEzon.winter</v>
      </c>
      <c r="E112" s="37"/>
      <c r="F112" s="36" t="s">
        <v>87</v>
      </c>
      <c r="G112" s="1">
        <f>Invoer!F29-1</f>
        <v>1</v>
      </c>
    </row>
    <row r="113" spans="2:7" x14ac:dyDescent="0.25">
      <c r="B113" s="140" t="s">
        <v>565</v>
      </c>
      <c r="C113" t="str">
        <f>ClimateChangeEffectTgemWinter_description</f>
        <v/>
      </c>
      <c r="E113" s="206"/>
      <c r="F113" s="36" t="s">
        <v>87</v>
      </c>
      <c r="G113" s="1">
        <f>Invoer!F35-1</f>
        <v>0</v>
      </c>
    </row>
    <row r="114" spans="2:7" x14ac:dyDescent="0.25">
      <c r="B114" s="140" t="s">
        <v>566</v>
      </c>
      <c r="C114" t="str">
        <f>UrbanHeaIslandTgemWinter_description</f>
        <v/>
      </c>
      <c r="E114" s="37"/>
      <c r="F114" s="36" t="s">
        <v>87</v>
      </c>
      <c r="G114" s="1">
        <f>Invoer!F41-1</f>
        <v>0</v>
      </c>
    </row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7056-332A-46E4-9651-5485F069F38A}">
  <dimension ref="A3:F36"/>
  <sheetViews>
    <sheetView zoomScaleNormal="100" workbookViewId="0">
      <selection activeCell="H31" sqref="H31"/>
    </sheetView>
  </sheetViews>
  <sheetFormatPr defaultRowHeight="15" x14ac:dyDescent="0.25"/>
  <cols>
    <col min="1" max="1" width="23.42578125" style="2" customWidth="1"/>
    <col min="2" max="2" width="26.7109375" style="2" customWidth="1"/>
    <col min="3" max="3" width="26.7109375" customWidth="1"/>
    <col min="4" max="4" width="21" customWidth="1"/>
    <col min="5" max="5" width="15" customWidth="1"/>
    <col min="6" max="6" width="57" style="1" customWidth="1"/>
  </cols>
  <sheetData>
    <row r="3" spans="1:6" s="92" customFormat="1" ht="30" x14ac:dyDescent="0.25">
      <c r="A3" s="116"/>
      <c r="B3" s="93" t="s">
        <v>567</v>
      </c>
      <c r="C3" s="94" t="s">
        <v>568</v>
      </c>
      <c r="D3" s="94" t="s">
        <v>569</v>
      </c>
      <c r="E3" s="94" t="s">
        <v>570</v>
      </c>
      <c r="F3" s="95" t="s">
        <v>571</v>
      </c>
    </row>
    <row r="4" spans="1:6" x14ac:dyDescent="0.25">
      <c r="A4" s="106"/>
      <c r="B4" s="2" t="s">
        <v>52</v>
      </c>
      <c r="C4" t="s">
        <v>572</v>
      </c>
      <c r="D4" s="96" t="s">
        <v>573</v>
      </c>
      <c r="E4" s="96" t="s">
        <v>573</v>
      </c>
      <c r="F4" s="96" t="s">
        <v>573</v>
      </c>
    </row>
    <row r="5" spans="1:6" x14ac:dyDescent="0.25">
      <c r="A5" s="106"/>
      <c r="B5" s="2" t="s">
        <v>58</v>
      </c>
      <c r="C5" t="s">
        <v>574</v>
      </c>
      <c r="D5" s="96" t="s">
        <v>573</v>
      </c>
      <c r="E5" s="96" t="s">
        <v>573</v>
      </c>
      <c r="F5" s="96" t="s">
        <v>573</v>
      </c>
    </row>
    <row r="6" spans="1:6" x14ac:dyDescent="0.25">
      <c r="A6" s="106"/>
      <c r="B6" s="2" t="s">
        <v>55</v>
      </c>
      <c r="C6" t="s">
        <v>575</v>
      </c>
      <c r="D6" s="96" t="s">
        <v>573</v>
      </c>
      <c r="E6" s="96" t="s">
        <v>573</v>
      </c>
      <c r="F6" s="96" t="s">
        <v>573</v>
      </c>
    </row>
    <row r="7" spans="1:6" x14ac:dyDescent="0.25">
      <c r="A7" s="106"/>
      <c r="B7" s="2" t="s">
        <v>60</v>
      </c>
      <c r="C7" t="s">
        <v>576</v>
      </c>
      <c r="D7" s="97" t="s">
        <v>577</v>
      </c>
      <c r="E7" s="97" t="s">
        <v>577</v>
      </c>
      <c r="F7" s="96" t="s">
        <v>573</v>
      </c>
    </row>
    <row r="8" spans="1:6" x14ac:dyDescent="0.25">
      <c r="A8" s="106"/>
      <c r="B8" s="2" t="s">
        <v>63</v>
      </c>
      <c r="C8" t="s">
        <v>578</v>
      </c>
      <c r="D8" s="97" t="s">
        <v>577</v>
      </c>
      <c r="E8" s="97" t="s">
        <v>577</v>
      </c>
      <c r="F8" s="97" t="s">
        <v>590</v>
      </c>
    </row>
    <row r="9" spans="1:6" x14ac:dyDescent="0.25">
      <c r="A9" s="106"/>
      <c r="B9" s="2" t="s">
        <v>28</v>
      </c>
      <c r="D9" s="96" t="s">
        <v>573</v>
      </c>
      <c r="E9" s="96" t="s">
        <v>573</v>
      </c>
      <c r="F9" s="96" t="s">
        <v>573</v>
      </c>
    </row>
    <row r="10" spans="1:6" ht="15.75" thickBot="1" x14ac:dyDescent="0.3">
      <c r="A10" s="106"/>
      <c r="B10" s="2" t="s">
        <v>79</v>
      </c>
      <c r="C10" t="s">
        <v>579</v>
      </c>
      <c r="D10" s="102" t="s">
        <v>577</v>
      </c>
      <c r="E10" s="102" t="s">
        <v>577</v>
      </c>
      <c r="F10" s="100" t="s">
        <v>573</v>
      </c>
    </row>
    <row r="11" spans="1:6" x14ac:dyDescent="0.25">
      <c r="A11" s="277" t="s">
        <v>83</v>
      </c>
      <c r="B11" s="108" t="s">
        <v>84</v>
      </c>
      <c r="C11" s="9"/>
      <c r="D11" s="109" t="s">
        <v>573</v>
      </c>
      <c r="E11" s="21"/>
      <c r="F11" s="283" t="s">
        <v>580</v>
      </c>
    </row>
    <row r="12" spans="1:6" x14ac:dyDescent="0.25">
      <c r="A12" s="278"/>
      <c r="B12" s="106" t="s">
        <v>37</v>
      </c>
      <c r="D12" s="96" t="s">
        <v>573</v>
      </c>
      <c r="E12" s="1"/>
      <c r="F12" s="284"/>
    </row>
    <row r="13" spans="1:6" x14ac:dyDescent="0.25">
      <c r="A13" s="278"/>
      <c r="B13" s="106" t="s">
        <v>39</v>
      </c>
      <c r="D13" s="96" t="s">
        <v>573</v>
      </c>
      <c r="E13" s="1"/>
      <c r="F13" s="284"/>
    </row>
    <row r="14" spans="1:6" x14ac:dyDescent="0.25">
      <c r="A14" s="278"/>
      <c r="B14" s="106" t="s">
        <v>40</v>
      </c>
      <c r="D14" s="96" t="s">
        <v>573</v>
      </c>
      <c r="E14" s="1"/>
      <c r="F14" s="284"/>
    </row>
    <row r="15" spans="1:6" x14ac:dyDescent="0.25">
      <c r="A15" s="278"/>
      <c r="B15" s="106" t="s">
        <v>41</v>
      </c>
      <c r="D15" s="96" t="s">
        <v>573</v>
      </c>
      <c r="E15" s="1"/>
      <c r="F15" s="284"/>
    </row>
    <row r="16" spans="1:6" x14ac:dyDescent="0.25">
      <c r="A16" s="278"/>
      <c r="B16" s="106" t="s">
        <v>43</v>
      </c>
      <c r="D16" s="96" t="s">
        <v>573</v>
      </c>
      <c r="E16" s="1"/>
      <c r="F16" s="284"/>
    </row>
    <row r="17" spans="1:6" x14ac:dyDescent="0.25">
      <c r="A17" s="278"/>
      <c r="B17" s="106" t="s">
        <v>93</v>
      </c>
      <c r="D17" s="96" t="s">
        <v>573</v>
      </c>
      <c r="E17" s="1"/>
      <c r="F17" s="284"/>
    </row>
    <row r="18" spans="1:6" x14ac:dyDescent="0.25">
      <c r="A18" s="278"/>
      <c r="B18" s="106" t="s">
        <v>44</v>
      </c>
      <c r="D18" s="96" t="s">
        <v>573</v>
      </c>
      <c r="E18" s="1"/>
      <c r="F18" s="284"/>
    </row>
    <row r="19" spans="1:6" x14ac:dyDescent="0.25">
      <c r="A19" s="278"/>
      <c r="B19" s="106" t="s">
        <v>45</v>
      </c>
      <c r="D19" s="96" t="s">
        <v>573</v>
      </c>
      <c r="E19" s="1"/>
      <c r="F19" s="284"/>
    </row>
    <row r="20" spans="1:6" x14ac:dyDescent="0.25">
      <c r="A20" s="278"/>
      <c r="B20" s="106" t="s">
        <v>46</v>
      </c>
      <c r="D20" s="96" t="s">
        <v>573</v>
      </c>
      <c r="E20" s="1"/>
      <c r="F20" s="284"/>
    </row>
    <row r="21" spans="1:6" x14ac:dyDescent="0.25">
      <c r="A21" s="278"/>
      <c r="B21" s="106" t="s">
        <v>47</v>
      </c>
      <c r="D21" s="96" t="s">
        <v>573</v>
      </c>
      <c r="E21" s="1"/>
      <c r="F21" s="284"/>
    </row>
    <row r="22" spans="1:6" x14ac:dyDescent="0.25">
      <c r="A22" s="278"/>
      <c r="B22" s="107" t="s">
        <v>48</v>
      </c>
      <c r="C22" s="45"/>
      <c r="D22" s="104" t="s">
        <v>573</v>
      </c>
      <c r="E22" s="98"/>
      <c r="F22" s="285"/>
    </row>
    <row r="23" spans="1:6" x14ac:dyDescent="0.25">
      <c r="A23" s="278"/>
      <c r="B23" s="105" t="s">
        <v>98</v>
      </c>
      <c r="C23" s="101"/>
      <c r="D23" s="103" t="s">
        <v>573</v>
      </c>
      <c r="E23" s="99"/>
      <c r="F23" s="280" t="s">
        <v>581</v>
      </c>
    </row>
    <row r="24" spans="1:6" x14ac:dyDescent="0.25">
      <c r="A24" s="278"/>
      <c r="B24" s="106" t="s">
        <v>582</v>
      </c>
      <c r="D24" s="96" t="s">
        <v>573</v>
      </c>
      <c r="E24" s="1"/>
      <c r="F24" s="281"/>
    </row>
    <row r="25" spans="1:6" x14ac:dyDescent="0.25">
      <c r="A25" s="278"/>
      <c r="B25" s="106" t="s">
        <v>583</v>
      </c>
      <c r="D25" s="96" t="s">
        <v>573</v>
      </c>
      <c r="E25" s="1"/>
      <c r="F25" s="281"/>
    </row>
    <row r="26" spans="1:6" x14ac:dyDescent="0.25">
      <c r="A26" s="278"/>
      <c r="B26" s="106" t="s">
        <v>584</v>
      </c>
      <c r="D26" s="96" t="s">
        <v>573</v>
      </c>
      <c r="E26" s="1"/>
      <c r="F26" s="281"/>
    </row>
    <row r="27" spans="1:6" x14ac:dyDescent="0.25">
      <c r="A27" s="278"/>
      <c r="B27" s="106" t="s">
        <v>103</v>
      </c>
      <c r="D27" s="96" t="s">
        <v>573</v>
      </c>
      <c r="E27" s="1"/>
      <c r="F27" s="281"/>
    </row>
    <row r="28" spans="1:6" x14ac:dyDescent="0.25">
      <c r="A28" s="278"/>
      <c r="B28" s="106" t="s">
        <v>585</v>
      </c>
      <c r="D28" s="96" t="s">
        <v>573</v>
      </c>
      <c r="E28" s="1"/>
      <c r="F28" s="281"/>
    </row>
    <row r="29" spans="1:6" x14ac:dyDescent="0.25">
      <c r="A29" s="278"/>
      <c r="B29" s="107" t="s">
        <v>586</v>
      </c>
      <c r="C29" s="45"/>
      <c r="D29" s="104" t="s">
        <v>573</v>
      </c>
      <c r="E29" s="98"/>
      <c r="F29" s="282"/>
    </row>
    <row r="30" spans="1:6" ht="15.75" thickBot="1" x14ac:dyDescent="0.3">
      <c r="A30" s="279"/>
      <c r="B30" s="110" t="s">
        <v>107</v>
      </c>
      <c r="C30" s="17"/>
      <c r="D30" s="111" t="s">
        <v>573</v>
      </c>
      <c r="E30" s="112"/>
      <c r="F30" s="113" t="s">
        <v>587</v>
      </c>
    </row>
    <row r="31" spans="1:6" x14ac:dyDescent="0.25">
      <c r="A31" s="286" t="s">
        <v>81</v>
      </c>
      <c r="B31" s="9" t="s">
        <v>19</v>
      </c>
      <c r="C31" s="114"/>
      <c r="D31" s="9"/>
      <c r="E31" s="9"/>
      <c r="F31" s="283" t="s">
        <v>588</v>
      </c>
    </row>
    <row r="32" spans="1:6" x14ac:dyDescent="0.25">
      <c r="A32" s="287"/>
      <c r="B32" t="s">
        <v>20</v>
      </c>
      <c r="C32" s="83"/>
      <c r="F32" s="284"/>
    </row>
    <row r="33" spans="1:6" x14ac:dyDescent="0.25">
      <c r="A33" s="287"/>
      <c r="B33" t="s">
        <v>21</v>
      </c>
      <c r="C33" s="83"/>
      <c r="F33" s="284"/>
    </row>
    <row r="34" spans="1:6" x14ac:dyDescent="0.25">
      <c r="A34" s="287"/>
      <c r="B34" t="s">
        <v>22</v>
      </c>
      <c r="C34" s="83"/>
      <c r="F34" s="284"/>
    </row>
    <row r="35" spans="1:6" ht="15.75" thickBot="1" x14ac:dyDescent="0.3">
      <c r="A35" s="288"/>
      <c r="B35" s="17" t="s">
        <v>23</v>
      </c>
      <c r="C35" s="115"/>
      <c r="D35" s="17"/>
      <c r="E35" s="17"/>
      <c r="F35" s="289"/>
    </row>
    <row r="36" spans="1:6" x14ac:dyDescent="0.25">
      <c r="A36" s="2" t="s">
        <v>18</v>
      </c>
      <c r="F36" s="1" t="s">
        <v>589</v>
      </c>
    </row>
  </sheetData>
  <mergeCells count="5">
    <mergeCell ref="A11:A30"/>
    <mergeCell ref="F23:F29"/>
    <mergeCell ref="F11:F22"/>
    <mergeCell ref="A31:A35"/>
    <mergeCell ref="F31:F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9B7EB5211FE4428EFDDF5BFC1A11D0" ma:contentTypeVersion="15" ma:contentTypeDescription="Een nieuw document maken." ma:contentTypeScope="" ma:versionID="f4c6a79370a7a9707118ce262b091cc5">
  <xsd:schema xmlns:xsd="http://www.w3.org/2001/XMLSchema" xmlns:xs="http://www.w3.org/2001/XMLSchema" xmlns:p="http://schemas.microsoft.com/office/2006/metadata/properties" xmlns:ns2="cf424010-053e-4294-8690-04c541aae9cd" xmlns:ns3="f8073f3d-907e-472e-89f9-48e543fa6cfe" xmlns:ns4="7e8cc42f-870a-40fd-adbb-6ff0e9af99fc" targetNamespace="http://schemas.microsoft.com/office/2006/metadata/properties" ma:root="true" ma:fieldsID="6a86a46307ff2055e9e14da87053b61d" ns2:_="" ns3:_="" ns4:_="">
    <xsd:import namespace="cf424010-053e-4294-8690-04c541aae9cd"/>
    <xsd:import namespace="f8073f3d-907e-472e-89f9-48e543fa6cfe"/>
    <xsd:import namespace="7e8cc42f-870a-40fd-adbb-6ff0e9af99fc"/>
    <xsd:element name="properties">
      <xsd:complexType>
        <xsd:sequence>
          <xsd:element name="documentManagement">
            <xsd:complexType>
              <xsd:all>
                <xsd:element ref="ns2:ctbFolderMD1" minOccurs="0"/>
                <xsd:element ref="ns2:ctbFolderMD2" minOccurs="0"/>
                <xsd:element ref="ns2:ctbFolderMD3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24010-053e-4294-8690-04c541aae9cd" elementFormDefault="qualified">
    <xsd:import namespace="http://schemas.microsoft.com/office/2006/documentManagement/types"/>
    <xsd:import namespace="http://schemas.microsoft.com/office/infopath/2007/PartnerControls"/>
    <xsd:element name="ctbFolderMD1" ma:index="8" nillable="true" ma:displayName="Folder level 1" ma:indexed="true" ma:internalName="ctbFolderMD1" ma:readOnly="true">
      <xsd:simpleType>
        <xsd:restriction base="dms:Text">
          <xsd:maxLength value="255"/>
        </xsd:restriction>
      </xsd:simpleType>
    </xsd:element>
    <xsd:element name="ctbFolderMD2" ma:index="9" nillable="true" ma:displayName="Folder level 2" ma:indexed="true" ma:internalName="ctbFolderMD2" ma:readOnly="true">
      <xsd:simpleType>
        <xsd:restriction base="dms:Text">
          <xsd:maxLength value="255"/>
        </xsd:restriction>
      </xsd:simpleType>
    </xsd:element>
    <xsd:element name="ctbFolderMD3" ma:index="10" nillable="true" ma:displayName="Folder level 3" ma:indexed="true" ma:internalName="ctbFolderMD3" ma:readOnly="tru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73f3d-907e-472e-89f9-48e543fa6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f8fd9321-a203-48ed-8f4e-ac1e8e0f51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cc42f-870a-40fd-adbb-6ff0e9af99f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ea71e18-757e-4bc7-9252-23d72751e3f8}" ma:internalName="TaxCatchAll" ma:showField="CatchAllData" ma:web="7e8cc42f-870a-40fd-adbb-6ff0e9af9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073f3d-907e-472e-89f9-48e543fa6cfe">
      <Terms xmlns="http://schemas.microsoft.com/office/infopath/2007/PartnerControls"/>
    </lcf76f155ced4ddcb4097134ff3c332f>
    <TaxCatchAll xmlns="7e8cc42f-870a-40fd-adbb-6ff0e9af99fc" xsi:nil="true"/>
    <ctbFolderMD2 xmlns="cf424010-053e-4294-8690-04c541aae9cd">03_Technical_WIP</ctbFolderMD2>
    <ctbFolderMD1 xmlns="cf424010-053e-4294-8690-04c541aae9cd">General</ctbFolderMD1>
    <ctbFolderMD3 xmlns="cf424010-053e-4294-8690-04c541aae9cd">Energie Model</ctbFolderMD3>
  </documentManagement>
</p:properties>
</file>

<file path=customXml/itemProps1.xml><?xml version="1.0" encoding="utf-8"?>
<ds:datastoreItem xmlns:ds="http://schemas.openxmlformats.org/officeDocument/2006/customXml" ds:itemID="{ECA76A13-3463-4735-8A87-8742EC56DD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ECA278-ABAC-4540-B088-14A5FF13686C}"/>
</file>

<file path=customXml/itemProps3.xml><?xml version="1.0" encoding="utf-8"?>
<ds:datastoreItem xmlns:ds="http://schemas.openxmlformats.org/officeDocument/2006/customXml" ds:itemID="{CF6E9060-2AF0-4F82-8198-20026CE7DDC1}">
  <ds:schemaRefs>
    <ds:schemaRef ds:uri="7e8cc42f-870a-40fd-adbb-6ff0e9af99fc"/>
    <ds:schemaRef ds:uri="http://schemas.microsoft.com/office/2006/documentManagement/types"/>
    <ds:schemaRef ds:uri="http://purl.org/dc/terms/"/>
    <ds:schemaRef ds:uri="cf424010-053e-4294-8690-04c541aae9cd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f8073f3d-907e-472e-89f9-48e543fa6cf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191</vt:i4>
      </vt:variant>
    </vt:vector>
  </HeadingPairs>
  <TitlesOfParts>
    <vt:vector size="198" baseType="lpstr">
      <vt:lpstr>Scenarios</vt:lpstr>
      <vt:lpstr>Invoer</vt:lpstr>
      <vt:lpstr>Resultaten</vt:lpstr>
      <vt:lpstr>Tabellen</vt:lpstr>
      <vt:lpstr>Coeefficienten</vt:lpstr>
      <vt:lpstr>Basis waarden en tabellen</vt:lpstr>
      <vt:lpstr>Parameter Overview</vt:lpstr>
      <vt:lpstr>Bezetting</vt:lpstr>
      <vt:lpstr>BezonningGevelEzonWinter_description</vt:lpstr>
      <vt:lpstr>BezonningGevelEzonWinter_unit</vt:lpstr>
      <vt:lpstr>BezonningGevelEzonWinter_value</vt:lpstr>
      <vt:lpstr>BezonningGevelEzonZomer_description</vt:lpstr>
      <vt:lpstr>BezonningGevelEzonZomer_unit</vt:lpstr>
      <vt:lpstr>BezonningGevelEzonZomer_value</vt:lpstr>
      <vt:lpstr>C_massa</vt:lpstr>
      <vt:lpstr>ClimateChangeEffectEzonWinter_description</vt:lpstr>
      <vt:lpstr>ClimateChangeEffectEzonWinter_unit</vt:lpstr>
      <vt:lpstr>ClimateChangeEffectEzonWinter_value</vt:lpstr>
      <vt:lpstr>ClimateChangeEffectEzonZomer_description</vt:lpstr>
      <vt:lpstr>ClimateChangeEffectEzonZomer_unit</vt:lpstr>
      <vt:lpstr>ClimateChangeEffectEzonZomer_value</vt:lpstr>
      <vt:lpstr>ClimateChangeEffectTgem_description</vt:lpstr>
      <vt:lpstr>ClimateChangeEffectTgem_unit</vt:lpstr>
      <vt:lpstr>ClimateChangeEffectTgem_value</vt:lpstr>
      <vt:lpstr>ClimateChangeEffectTgemWinter_description</vt:lpstr>
      <vt:lpstr>ClimateChangeEffectTgemWinter_unit</vt:lpstr>
      <vt:lpstr>ClimateChangeEffectTgemWinter_value</vt:lpstr>
      <vt:lpstr>ClimateChangeEffectTgemZomer_description</vt:lpstr>
      <vt:lpstr>ClimateChangeEffectTgemZomer_unit</vt:lpstr>
      <vt:lpstr>ClimateChangeEffectTgemZomer_value</vt:lpstr>
      <vt:lpstr>CO2RegelingVentilatie_description</vt:lpstr>
      <vt:lpstr>CO2RegelingVentilatie_value</vt:lpstr>
      <vt:lpstr>Collectief</vt:lpstr>
      <vt:lpstr>Collector</vt:lpstr>
      <vt:lpstr>Constructie</vt:lpstr>
      <vt:lpstr>ConstructieWijze_description</vt:lpstr>
      <vt:lpstr>ConstructieWijze_value</vt:lpstr>
      <vt:lpstr>COP</vt:lpstr>
      <vt:lpstr>COP_</vt:lpstr>
      <vt:lpstr>corner_correctie</vt:lpstr>
      <vt:lpstr>corner_correction</vt:lpstr>
      <vt:lpstr>Dak</vt:lpstr>
      <vt:lpstr>Dak_description</vt:lpstr>
      <vt:lpstr>Dak_U</vt:lpstr>
      <vt:lpstr>Dak_Uw</vt:lpstr>
      <vt:lpstr>Dak_value</vt:lpstr>
      <vt:lpstr>DF_ratio</vt:lpstr>
      <vt:lpstr>Douche</vt:lpstr>
      <vt:lpstr>douche_red</vt:lpstr>
      <vt:lpstr>douche_reductie</vt:lpstr>
      <vt:lpstr>Douchewtw_description</vt:lpstr>
      <vt:lpstr>Douchewtw_value</vt:lpstr>
      <vt:lpstr>dT_h</vt:lpstr>
      <vt:lpstr>Gebouwconcept</vt:lpstr>
      <vt:lpstr>Gegevens</vt:lpstr>
      <vt:lpstr>inkoop_tabel</vt:lpstr>
      <vt:lpstr>input_BerekendDaglichtFactor_description</vt:lpstr>
      <vt:lpstr>input_BerekendDaglichtFactor_value</vt:lpstr>
      <vt:lpstr>input_DakaAnwezigheid_value</vt:lpstr>
      <vt:lpstr>input_DakAnwezigheid_description</vt:lpstr>
      <vt:lpstr>input_GrootteApartement_description</vt:lpstr>
      <vt:lpstr>input_GrootteApartement_unit</vt:lpstr>
      <vt:lpstr>input_GrootteApartement_value</vt:lpstr>
      <vt:lpstr>input_OppervlakBuitenGevel_description</vt:lpstr>
      <vt:lpstr>input_OppervlakBuitenGevel_unit</vt:lpstr>
      <vt:lpstr>input_OppervlakBuitenGevel_value</vt:lpstr>
      <vt:lpstr>input_Orientatie_description</vt:lpstr>
      <vt:lpstr>input_Orientatie_value</vt:lpstr>
      <vt:lpstr>input_scenario_description</vt:lpstr>
      <vt:lpstr>input_scenario_value</vt:lpstr>
      <vt:lpstr>input_TypeApartement_description</vt:lpstr>
      <vt:lpstr>input_TypeApartement_value</vt:lpstr>
      <vt:lpstr>input_Vloerhoogte_description</vt:lpstr>
      <vt:lpstr>input_Vloerhoogte_value</vt:lpstr>
      <vt:lpstr>Koel_orientatie</vt:lpstr>
      <vt:lpstr>Koel_tabel</vt:lpstr>
      <vt:lpstr>Koel_UH</vt:lpstr>
      <vt:lpstr>KoudeWarmte_description</vt:lpstr>
      <vt:lpstr>KoudeWarmte_value</vt:lpstr>
      <vt:lpstr>Licht_m2</vt:lpstr>
      <vt:lpstr>Licht_vorm</vt:lpstr>
      <vt:lpstr>LocatieGegevensEzonWinter_description</vt:lpstr>
      <vt:lpstr>LocatieGegevensEzonWinter_unit</vt:lpstr>
      <vt:lpstr>LocatieGegevensEzonWinter_value</vt:lpstr>
      <vt:lpstr>LocatieGegevensEzonZomer_description</vt:lpstr>
      <vt:lpstr>LocatieGegevensEzonZomer_unit</vt:lpstr>
      <vt:lpstr>LocatieGegevensEzonZomer_value</vt:lpstr>
      <vt:lpstr>LocatieGegevensTgem_description</vt:lpstr>
      <vt:lpstr>LocatieGegevensTgem_unit</vt:lpstr>
      <vt:lpstr>LocatieGegevensTgem_value</vt:lpstr>
      <vt:lpstr>LocatieGegevensTgemWinter_description</vt:lpstr>
      <vt:lpstr>LocatieGegevensTgemWinter_unit</vt:lpstr>
      <vt:lpstr>LocatieGegevensTgemWinter_value</vt:lpstr>
      <vt:lpstr>LocatieGegevensTgemZomer_description</vt:lpstr>
      <vt:lpstr>LocatieGegevensTgemZomer_unit</vt:lpstr>
      <vt:lpstr>LocatieGegevensTgemZomer_value</vt:lpstr>
      <vt:lpstr>Massa_K</vt:lpstr>
      <vt:lpstr>Massa_W</vt:lpstr>
      <vt:lpstr>OppervlakGlasInBuitengevel_description</vt:lpstr>
      <vt:lpstr>OppervlakGlasInBuitengevel_unit</vt:lpstr>
      <vt:lpstr>OppervlakGlasInBuitengevel_value</vt:lpstr>
      <vt:lpstr>Orientatie</vt:lpstr>
      <vt:lpstr>output_Bewoners_description</vt:lpstr>
      <vt:lpstr>output_Bewoners_unit</vt:lpstr>
      <vt:lpstr>output_Bewoners_value</vt:lpstr>
      <vt:lpstr>output_Bezetting_description</vt:lpstr>
      <vt:lpstr>output_Bezetting_unit</vt:lpstr>
      <vt:lpstr>output_Bezetting_value</vt:lpstr>
      <vt:lpstr>output_Gebruiksuren_description</vt:lpstr>
      <vt:lpstr>output_Gebruiksuren_unit</vt:lpstr>
      <vt:lpstr>output_Gebruiksuren_value</vt:lpstr>
      <vt:lpstr>output_TotaalEnergieGebouw_description</vt:lpstr>
      <vt:lpstr>output_TotaalEnergieGebouw_unit</vt:lpstr>
      <vt:lpstr>output_TotaalEnergieGebouw_value</vt:lpstr>
      <vt:lpstr>output_TotaalEnergieGebruik_description</vt:lpstr>
      <vt:lpstr>output_TotaalEnergieGebruik_unit</vt:lpstr>
      <vt:lpstr>output_TotaalEnergieGebruik_value</vt:lpstr>
      <vt:lpstr>output_TotaalEnergieGebruiker_description</vt:lpstr>
      <vt:lpstr>output_TotaalEnergieGebruiker_unit</vt:lpstr>
      <vt:lpstr>output_TotaalEnergieGebruiker_value</vt:lpstr>
      <vt:lpstr>output_TotaalEnergieKoeling_description</vt:lpstr>
      <vt:lpstr>output_TotaalEnergieKoeling_unit</vt:lpstr>
      <vt:lpstr>output_TotaalEnergieKoeling_value</vt:lpstr>
      <vt:lpstr>output_TotaalEnergieMediaApparatuurOverige_description</vt:lpstr>
      <vt:lpstr>output_TotaalEnergieMediaApparatuurOverige_unit</vt:lpstr>
      <vt:lpstr>output_TotaalEnergieMediaApparatuurOverige_value</vt:lpstr>
      <vt:lpstr>output_TotaalEnergieVentilatie_description</vt:lpstr>
      <vt:lpstr>output_TotaalEnergieVentilatie_unit</vt:lpstr>
      <vt:lpstr>output_TotaalEnergieVentilatie_value</vt:lpstr>
      <vt:lpstr>output_TotaalEnergieVerlichting_description</vt:lpstr>
      <vt:lpstr>output_TotaalEnergieVerlichting_unit</vt:lpstr>
      <vt:lpstr>output_TotaalEnergieVerlichting_value</vt:lpstr>
      <vt:lpstr>output_TotaalEnergieVerwarming_description</vt:lpstr>
      <vt:lpstr>output_TotaalEnergieVerwarming_unit</vt:lpstr>
      <vt:lpstr>output_TotaalEnergieVerwarming_value</vt:lpstr>
      <vt:lpstr>output_TotaalEnergieWarmtapwater_description</vt:lpstr>
      <vt:lpstr>output_TotaalEnergieWarmtapwater_unit</vt:lpstr>
      <vt:lpstr>output_TotaalEnergieWarmtapwater_value</vt:lpstr>
      <vt:lpstr>output_TotaalEnergieWasmachineDrogerVaatwasser_description</vt:lpstr>
      <vt:lpstr>output_TotaalEnergieWasmachineDrogerVaatwasser_unit</vt:lpstr>
      <vt:lpstr>output_TotaalEnergieWasmachineDrogerVaatwasser_value</vt:lpstr>
      <vt:lpstr>per_sqm_Gebouw_description</vt:lpstr>
      <vt:lpstr>per_sqm_Gebouw_value</vt:lpstr>
      <vt:lpstr>per_sqm_Gebruiker_description</vt:lpstr>
      <vt:lpstr>per_sqm_Gebruiker_value</vt:lpstr>
      <vt:lpstr>per_sqm_Koeling_description</vt:lpstr>
      <vt:lpstr>per_sqm_Koeling_value</vt:lpstr>
      <vt:lpstr>per_sqm_Media_apparatuur_overige_description</vt:lpstr>
      <vt:lpstr>per_sqm_Media_apparatuur_overige_value</vt:lpstr>
      <vt:lpstr>per_sqm_Ventilatie_description</vt:lpstr>
      <vt:lpstr>per_sqm_Ventilatie_value</vt:lpstr>
      <vt:lpstr>per_sqm_Verlichting_description</vt:lpstr>
      <vt:lpstr>per_sqm_Verlichting_value</vt:lpstr>
      <vt:lpstr>per_sqm_Verwarming_description</vt:lpstr>
      <vt:lpstr>per_sqm_Verwarming_value</vt:lpstr>
      <vt:lpstr>per_sqm_Warmtapwater_description</vt:lpstr>
      <vt:lpstr>per_sqm_Warmtapwater_value</vt:lpstr>
      <vt:lpstr>per_sqm_Wasmachine_droger_vaatwasser_description</vt:lpstr>
      <vt:lpstr>per_sqm_Wasmachine_droger_vaatwasser_value</vt:lpstr>
      <vt:lpstr>Red_dT</vt:lpstr>
      <vt:lpstr>Red_inf</vt:lpstr>
      <vt:lpstr>Red_Tr</vt:lpstr>
      <vt:lpstr>Red_WL</vt:lpstr>
      <vt:lpstr>scenario_selection</vt:lpstr>
      <vt:lpstr>Scenario_Table</vt:lpstr>
      <vt:lpstr>Type</vt:lpstr>
      <vt:lpstr>UrbanHeaIslandTgem_description</vt:lpstr>
      <vt:lpstr>UrbanHeaIslandTgem_unit</vt:lpstr>
      <vt:lpstr>UrbanHeaIslandTgem_value</vt:lpstr>
      <vt:lpstr>UrbanHeaIslandTgemWinter_description</vt:lpstr>
      <vt:lpstr>UrbanHeaIslandTgemWinter_unit</vt:lpstr>
      <vt:lpstr>UrbanHeaIslandTgemWinter_value</vt:lpstr>
      <vt:lpstr>UrbanHeaIslandTgemZomer_description</vt:lpstr>
      <vt:lpstr>UrbanHeaIslandTgemZomer_unit</vt:lpstr>
      <vt:lpstr>UrbanHeaIslandTgemZomer_value</vt:lpstr>
      <vt:lpstr>Uren_factor</vt:lpstr>
      <vt:lpstr>UwaardeBuitengevel_description</vt:lpstr>
      <vt:lpstr>UwaardeBuitengevel_unit</vt:lpstr>
      <vt:lpstr>UwaardeBuitengevel_value</vt:lpstr>
      <vt:lpstr>UwaardeGlas_description</vt:lpstr>
      <vt:lpstr>UwaardeGlas_unit</vt:lpstr>
      <vt:lpstr>UwaardeGlas_value</vt:lpstr>
      <vt:lpstr>Vent_coef</vt:lpstr>
      <vt:lpstr>Ventilatie</vt:lpstr>
      <vt:lpstr>ventilatie_tabel</vt:lpstr>
      <vt:lpstr>Ventilatiesysteem_description</vt:lpstr>
      <vt:lpstr>Ventilatiesysteem_value</vt:lpstr>
      <vt:lpstr>Warmte</vt:lpstr>
      <vt:lpstr>Zon_reductie</vt:lpstr>
      <vt:lpstr>Zonnecollector_description</vt:lpstr>
      <vt:lpstr>Zonnecollector_value</vt:lpstr>
      <vt:lpstr>ZonnecollectorOppervlak_description</vt:lpstr>
      <vt:lpstr>ZonnecollectorOppervlak_unit</vt:lpstr>
      <vt:lpstr>ZonnecollectorOppervlak_value</vt:lpstr>
      <vt:lpstr>ZTAMetZonwering_description</vt:lpstr>
      <vt:lpstr>ZTAMetZonwering_value</vt:lpstr>
      <vt:lpstr>ZTAZonderZonwering_description</vt:lpstr>
      <vt:lpstr>ZTAZonderZonwering_value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Jaap Wiedenhoff</dc:creator>
  <cp:keywords/>
  <dc:description/>
  <cp:lastModifiedBy>Sarvin Sarabi Daryani</cp:lastModifiedBy>
  <cp:revision/>
  <dcterms:created xsi:type="dcterms:W3CDTF">2025-08-26T08:47:56Z</dcterms:created>
  <dcterms:modified xsi:type="dcterms:W3CDTF">2026-05-06T08:48:10Z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0x010100F29B7EB5211FE4428EFDDF5BFC1A11D0</vt:lpwstr>
  </property>
  <property fmtid="{D5CDD505-2E9C-101B-9397-08002B2CF9AE}" pid="3" name="ctbFolderMD7">
    <vt:lpwstr/>
  </property>
  <property fmtid="{D5CDD505-2E9C-101B-9397-08002B2CF9AE}" pid="4" name="ctbFolderMD6">
    <vt:lpwstr/>
  </property>
  <property fmtid="{D5CDD505-2E9C-101B-9397-08002B2CF9AE}" pid="5" name="ctbFolderMD5">
    <vt:lpwstr/>
  </property>
  <property fmtid="{D5CDD505-2E9C-101B-9397-08002B2CF9AE}" pid="6" name="ctbFolderMD0">
    <vt:lpwstr>Gedeelde documenten</vt:lpwstr>
  </property>
  <property fmtid="{D5CDD505-2E9C-101B-9397-08002B2CF9AE}" pid="7" name="ctbFolderMD4">
    <vt:lpwstr/>
  </property>
  <property fmtid="{D5CDD505-2E9C-101B-9397-08002B2CF9AE}" pid="8" name="ctbFolderMD8">
    <vt:lpwstr/>
  </property>
  <property fmtid="{D5CDD505-2E9C-101B-9397-08002B2CF9AE}" pid="9" name="MediaServiceImageTags">
    <vt:lpwstr/>
  </property>
</Properties>
</file>